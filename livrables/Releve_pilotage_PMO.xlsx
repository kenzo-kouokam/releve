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ueil" sheetId="1" state="visible" r:id="rId3"/>
    <sheet name="Chiffrage" sheetId="2" state="visible" r:id="rId4"/>
    <sheet name="Suivi temps" sheetId="3" state="visible" r:id="rId5"/>
    <sheet name="Jalons" sheetId="4" state="visible" r:id="rId6"/>
    <sheet name="Coupes" sheetId="5" state="visible" r:id="rId7"/>
    <sheet name="Roadmap" sheetId="6" state="visible" r:id="rId8"/>
  </sheets>
  <definedNames>
    <definedName function="false" hidden="true" localSheetId="1" name="_xlnm._FilterDatabase" vbProcedure="false">Chiffrage!$A$4:$M$51</definedName>
    <definedName function="false" hidden="true" localSheetId="2" name="_xlnm._FilterDatabase" vbProcedure="false">'Suivi temps'!$A$4:$F$305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<sst xmlns="http://schemas.openxmlformats.org/spreadsheetml/2006/main" count="726" uniqueCount="296">
  <si>
    <t xml:space="preserve">RELÈVE CLASSEUR DE PILOTAGE PMO</t>
  </si>
  <si>
    <t xml:space="preserve">1. Identité du projet</t>
  </si>
  <si>
    <t xml:space="preserve">Produit</t>
  </si>
  <si>
    <t xml:space="preserve">Relève</t>
  </si>
  <si>
    <t xml:space="preserve">InteriMatch est l'intitulé du sujet, Relève le nom du produit</t>
  </si>
  <si>
    <t xml:space="preserve">Secteur</t>
  </si>
  <si>
    <t xml:space="preserve">Aide à domicile</t>
  </si>
  <si>
    <t xml:space="preserve">Cible : SAAD prestataires autorisés, en B2B</t>
  </si>
  <si>
    <t xml:space="preserve">Groupe</t>
  </si>
  <si>
    <t xml:space="preserve">Emma, Boubacar, Nina, Dirimo, Enzo</t>
  </si>
  <si>
    <t xml:space="preserve">Période</t>
  </si>
  <si>
    <t xml:space="preserve">14 au 28/09/2026</t>
  </si>
  <si>
    <t xml:space="preserve">11 jours ouvrés</t>
  </si>
  <si>
    <t xml:space="preserve">Go/nogo</t>
  </si>
  <si>
    <t xml:space="preserve">16/09/2026</t>
  </si>
  <si>
    <t xml:space="preserve">Remise du cahier des charges</t>
  </si>
  <si>
    <t xml:space="preserve">Démonstration</t>
  </si>
  <si>
    <t xml:space="preserve">En local</t>
  </si>
  <si>
    <t xml:space="preserve">Pas de déploiement en ligne</t>
  </si>
  <si>
    <t xml:space="preserve">Responsable du classeur</t>
  </si>
  <si>
    <t xml:space="preserve">PMO</t>
  </si>
  <si>
    <t xml:space="preserve">Seul à saisir dans l'onglet Chiffrage</t>
  </si>
  <si>
    <t xml:space="preserve">2. Capacité et occupation</t>
  </si>
  <si>
    <t xml:space="preserve">Méthode reprise du cahier des charges. Un jour-homme vaut une journée de présence. La journée réelle fait 6 h 15 (9h30-17h15, pause 12h30-14h00), et non 7 h.</t>
  </si>
  <si>
    <t xml:space="preserve">Poste</t>
  </si>
  <si>
    <t xml:space="preserve">Valeur</t>
  </si>
  <si>
    <t xml:space="preserve">Hypothèse</t>
  </si>
  <si>
    <t xml:space="preserve">Nombre de membres</t>
  </si>
  <si>
    <t xml:space="preserve">Groupe complet</t>
  </si>
  <si>
    <t xml:space="preserve">Jours pleins par personne</t>
  </si>
  <si>
    <t xml:space="preserve">Du 14 au 25 septembre</t>
  </si>
  <si>
    <t xml:space="preserve">Demi-journée du 28 septembre</t>
  </si>
  <si>
    <t xml:space="preserve">Jour de soutenance</t>
  </si>
  <si>
    <t xml:space="preserve">Capacité totale (jours-homme)</t>
  </si>
  <si>
    <t xml:space="preserve">Membres × (jours pleins + demi-journée)</t>
  </si>
  <si>
    <t xml:space="preserve">Capacité totale (heures, à 6,25 h par jour)</t>
  </si>
  <si>
    <t xml:space="preserve">Total planifié (onglet Chiffrage)</t>
  </si>
  <si>
    <t xml:space="preserve">Marge restante (jours-homme)</t>
  </si>
  <si>
    <t xml:space="preserve">Taux d'occupation</t>
  </si>
  <si>
    <t xml:space="preserve">VERDICT</t>
  </si>
  <si>
    <t xml:space="preserve">3. Charge par personne</t>
  </si>
  <si>
    <t xml:space="preserve">Membre</t>
  </si>
  <si>
    <t xml:space="preserve">Planifié (JH)</t>
  </si>
  <si>
    <t xml:space="preserve">Disponible (JH)</t>
  </si>
  <si>
    <t xml:space="preserve">Occupation</t>
  </si>
  <si>
    <t xml:space="preserve">Emma</t>
  </si>
  <si>
    <t xml:space="preserve">Nina</t>
  </si>
  <si>
    <t xml:space="preserve">Boubacar</t>
  </si>
  <si>
    <t xml:space="preserve">Enzo</t>
  </si>
  <si>
    <t xml:space="preserve">Dirimo</t>
  </si>
  <si>
    <t xml:space="preserve">Les prénoms doivent rester orthographiés à l'identique ici, dans la colonne Responsable du Chiffrage et dans le Suivi temps, sinon les cumuls renvoient zéro.</t>
  </si>
  <si>
    <t xml:space="preserve">CHIFFRAGE DES TÂCHES</t>
  </si>
  <si>
    <t xml:space="preserve">Ne pas supprimer l'onglet Accueil : les lignes de capacité ci-dessous y puisent leurs valeurs.</t>
  </si>
  <si>
    <t xml:space="preserve">Bloc</t>
  </si>
  <si>
    <t xml:space="preserve">ID</t>
  </si>
  <si>
    <t xml:space="preserve">Tâche</t>
  </si>
  <si>
    <t xml:space="preserve">Exigé
par le sujet</t>
  </si>
  <si>
    <t xml:space="preserve">Responsable</t>
  </si>
  <si>
    <t xml:space="preserve">Priorité</t>
  </si>
  <si>
    <t xml:space="preserve">Estim.
(JH)</t>
  </si>
  <si>
    <t xml:space="preserve">Estim.
(h)</t>
  </si>
  <si>
    <t xml:space="preserve">Réel
(h)</t>
  </si>
  <si>
    <t xml:space="preserve">Écart
(h)</t>
  </si>
  <si>
    <t xml:space="preserve">Écart
(%)</t>
  </si>
  <si>
    <t xml:space="preserve">Statut</t>
  </si>
  <si>
    <t xml:space="preserve">Commentaire</t>
  </si>
  <si>
    <t xml:space="preserve">Cadrage et pilotage</t>
  </si>
  <si>
    <t xml:space="preserve">C01</t>
  </si>
  <si>
    <t xml:space="preserve">Étude de marché</t>
  </si>
  <si>
    <t xml:space="preserve">Oui</t>
  </si>
  <si>
    <t xml:space="preserve">Must have</t>
  </si>
  <si>
    <t xml:space="preserve">Fait</t>
  </si>
  <si>
    <t xml:space="preserve">C02</t>
  </si>
  <si>
    <t xml:space="preserve">Analyse de marché et positionnement</t>
  </si>
  <si>
    <t xml:space="preserve">C03</t>
  </si>
  <si>
    <t xml:space="preserve">Cahier des charges</t>
  </si>
  <si>
    <t xml:space="preserve">C04</t>
  </si>
  <si>
    <t xml:space="preserve">Dérisquage des données publiques (test API)</t>
  </si>
  <si>
    <t xml:space="preserve">C05</t>
  </si>
  <si>
    <t xml:space="preserve">Entretien terrain avec une structure</t>
  </si>
  <si>
    <t xml:space="preserve">Non</t>
  </si>
  <si>
    <t xml:space="preserve">Should have</t>
  </si>
  <si>
    <t xml:space="preserve">C06</t>
  </si>
  <si>
    <t xml:space="preserve">Pilotage, relevé du temps, points quotidiens</t>
  </si>
  <si>
    <t xml:space="preserve">En cours</t>
  </si>
  <si>
    <t xml:space="preserve">Tâche continue jusqu'à la soutenance.</t>
  </si>
  <si>
    <t xml:space="preserve">Socle technique</t>
  </si>
  <si>
    <t xml:space="preserve">S01</t>
  </si>
  <si>
    <t xml:space="preserve">Dépôt, arborescence, README initial</t>
  </si>
  <si>
    <t xml:space="preserve">S02</t>
  </si>
  <si>
    <t xml:space="preserve">Environnement de développement et bases</t>
  </si>
  <si>
    <t xml:space="preserve">S03</t>
  </si>
  <si>
    <t xml:space="preserve">Intégration continue</t>
  </si>
  <si>
    <t xml:space="preserve">S04</t>
  </si>
  <si>
    <t xml:space="preserve">Maquettes des écrans</t>
  </si>
  <si>
    <t xml:space="preserve">Comptes et sécurité</t>
  </si>
  <si>
    <t xml:space="preserve">A01</t>
  </si>
  <si>
    <t xml:space="preserve">Inscription et parcours structure</t>
  </si>
  <si>
    <t xml:space="preserve">A02</t>
  </si>
  <si>
    <t xml:space="preserve">Inscription et parcours intervenant</t>
  </si>
  <si>
    <t xml:space="preserve">A03</t>
  </si>
  <si>
    <t xml:space="preserve">Authentification développée par nous</t>
  </si>
  <si>
    <t xml:space="preserve">Terminé le 18/09. Dépassement lié à la prise en main des jetons et du renouvellement de session. </t>
  </si>
  <si>
    <t xml:space="preserve">A04</t>
  </si>
  <si>
    <t xml:space="preserve">Permissions par rôle</t>
  </si>
  <si>
    <t xml:space="preserve">A05</t>
  </si>
  <si>
    <t xml:space="preserve">Chiffrement des documents sensibles</t>
  </si>
  <si>
    <t xml:space="preserve">Dépassement à surveiller, non terminé au 18/09.</t>
  </si>
  <si>
    <t xml:space="preserve">Métier</t>
  </si>
  <si>
    <t xml:space="preserve">M01</t>
  </si>
  <si>
    <t xml:space="preserve">Profil intervenant détaillé</t>
  </si>
  <si>
    <t xml:space="preserve">M02</t>
  </si>
  <si>
    <t xml:space="preserve">Dépôt d'un besoin par la structure</t>
  </si>
  <si>
    <t xml:space="preserve">M03</t>
  </si>
  <si>
    <t xml:space="preserve">Cycle de vie du besoin et historique daté</t>
  </si>
  <si>
    <t xml:space="preserve">M04</t>
  </si>
  <si>
    <t xml:space="preserve">Tableau de bord des états</t>
  </si>
  <si>
    <t xml:space="preserve">M05</t>
  </si>
  <si>
    <t xml:space="preserve">Pages publiques d'annonces</t>
  </si>
  <si>
    <t xml:space="preserve">Matching</t>
  </si>
  <si>
    <t xml:space="preserve">X01</t>
  </si>
  <si>
    <t xml:space="preserve">Filtres éliminatoires dont contrôle Valletoux</t>
  </si>
  <si>
    <t xml:space="preserve">X02</t>
  </si>
  <si>
    <t xml:space="preserve">Score pondéré compétences, zone, créneaux</t>
  </si>
  <si>
    <t xml:space="preserve">X03</t>
  </si>
  <si>
    <t xml:space="preserve">Short-list, acceptation, refus motivé</t>
  </si>
  <si>
    <t xml:space="preserve">X04</t>
  </si>
  <si>
    <t xml:space="preserve">Journal des décisions de matching</t>
  </si>
  <si>
    <t xml:space="preserve">Données publiques</t>
  </si>
  <si>
    <t xml:space="preserve">D01</t>
  </si>
  <si>
    <t xml:space="preserve">Import API France Travail en ligne de commande</t>
  </si>
  <si>
    <t xml:space="preserve">D02</t>
  </si>
  <si>
    <t xml:space="preserve">Nettoyage, normalisation, dédoublonnage</t>
  </si>
  <si>
    <t xml:space="preserve">D03</t>
  </si>
  <si>
    <t xml:space="preserve">Indicateur de tension affiché à la saisie</t>
  </si>
  <si>
    <t xml:space="preserve">D04</t>
  </si>
  <si>
    <t xml:space="preserve">Jeu de données de démonstration</t>
  </si>
  <si>
    <t xml:space="preserve">olume de données à générer plus important que prévu. </t>
  </si>
  <si>
    <t xml:space="preserve">Automatisations</t>
  </si>
  <si>
    <t xml:space="preserve">N01</t>
  </si>
  <si>
    <t xml:space="preserve">Notification automatique aux profils retenus</t>
  </si>
  <si>
    <t xml:space="preserve">N02</t>
  </si>
  <si>
    <t xml:space="preserve">Relance automatique des besoins non pourvus</t>
  </si>
  <si>
    <t xml:space="preserve">N03</t>
  </si>
  <si>
    <t xml:space="preserve">Base tampon et exports des scénarios</t>
  </si>
  <si>
    <t xml:space="preserve">Conformité</t>
  </si>
  <si>
    <t xml:space="preserve">K01</t>
  </si>
  <si>
    <t xml:space="preserve">RGPD : base légale, conservation, mentions</t>
  </si>
  <si>
    <t xml:space="preserve">K02</t>
  </si>
  <si>
    <t xml:space="preserve">Code du travail : mentions du contrat, durée maximale</t>
  </si>
  <si>
    <t xml:space="preserve">K03</t>
  </si>
  <si>
    <t xml:space="preserve">Accessibilité RGAA 4.1</t>
  </si>
  <si>
    <t xml:space="preserve">K04</t>
  </si>
  <si>
    <t xml:space="preserve">Éco-conception RGESN, mesure avant et après</t>
  </si>
  <si>
    <t xml:space="preserve">K05</t>
  </si>
  <si>
    <t xml:space="preserve">Référencement : balises, titres, sitemap</t>
  </si>
  <si>
    <t xml:space="preserve">Qualité et recette</t>
  </si>
  <si>
    <t xml:space="preserve">Q01</t>
  </si>
  <si>
    <t xml:space="preserve">Tests unitaires</t>
  </si>
  <si>
    <t xml:space="preserve">Q02</t>
  </si>
  <si>
    <t xml:space="preserve">Tests fonctionnels des parcours critiques</t>
  </si>
  <si>
    <t xml:space="preserve">Q03</t>
  </si>
  <si>
    <t xml:space="preserve">Rapport de couverture</t>
  </si>
  <si>
    <t xml:space="preserve">Q04</t>
  </si>
  <si>
    <t xml:space="preserve">Recette des critères d'acceptation</t>
  </si>
  <si>
    <t xml:space="preserve">Livraison</t>
  </si>
  <si>
    <t xml:space="preserve">L01</t>
  </si>
  <si>
    <t xml:space="preserve">README et propreté du dépôt</t>
  </si>
  <si>
    <t xml:space="preserve">L02</t>
  </si>
  <si>
    <t xml:space="preserve">Chiffrage réel et écart avec l'estimé</t>
  </si>
  <si>
    <t xml:space="preserve">En cours, finalisé le 24/09 au soir.</t>
  </si>
  <si>
    <t xml:space="preserve">L03</t>
  </si>
  <si>
    <t xml:space="preserve">Support de pitch</t>
  </si>
  <si>
    <t xml:space="preserve">L04</t>
  </si>
  <si>
    <t xml:space="preserve">Deux répétitions de la soutenance</t>
  </si>
  <si>
    <t xml:space="preserve">Première répétition le 24/09, seconde le 25/09 au matin.</t>
  </si>
  <si>
    <t xml:space="preserve">Optionnel</t>
  </si>
  <si>
    <t xml:space="preserve">O01</t>
  </si>
  <si>
    <t xml:space="preserve">Confirmation de mission générée depuis un modèle</t>
  </si>
  <si>
    <t xml:space="preserve">Could have</t>
  </si>
  <si>
    <t xml:space="preserve">Non retenu</t>
  </si>
  <si>
    <t xml:space="preserve">À chiffrer : non isolé dans le cahier des charges</t>
  </si>
  <si>
    <t xml:space="preserve">O02</t>
  </si>
  <si>
    <t xml:space="preserve">Autocomplétion des intitulés de poste</t>
  </si>
  <si>
    <t xml:space="preserve">O03</t>
  </si>
  <si>
    <t xml:space="preserve">Tableau de suivi des notifications et des délais</t>
  </si>
  <si>
    <t xml:space="preserve">TOTAL PLANIFIÉ</t>
  </si>
  <si>
    <t xml:space="preserve">Capacité totale (onglet Accueil)</t>
  </si>
  <si>
    <t xml:space="preserve">Marge restante</t>
  </si>
  <si>
    <t xml:space="preserve">Les totaux par bloc reprennent exactement le cahier des charges : cadrage 8,25 ; socle 3,75 ; comptes 3,75 ; métier 6,75 ; matching 4,00 ; données 4,00 ; automatisations 3,50 ; conformité 5,25 ; qualité 5,00 ; livraison 3,75.</t>
  </si>
  <si>
    <t xml:space="preserve">La ventilation à l'intérieur de chaque bloc est une proposition. Ajustez-la, mais gardez le total du bloc identique au cahier des charges, sinon les deux documents divergent.</t>
  </si>
  <si>
    <t xml:space="preserve">Les trois tâches optionnelles ne sont pas isolées dans le chiffrage du cahier des charges. Chiffrez-les et décidez si elles s'ajoutent aux 48 jours-homme ou si elles s'y logent.</t>
  </si>
  <si>
    <t xml:space="preserve">Priorité : les Could have sont ce qu'on coupe en premier, dans l'ordre défini dans l'onglet Coupes.</t>
  </si>
  <si>
    <t xml:space="preserve">SUIVI DU TEMPS PASSÉ</t>
  </si>
  <si>
    <t xml:space="preserve">Une ligne par personne, par jour et par tâche. La semaine du 14 au 18 septembre est pré-remplie en dates, prénoms et heures : il reste à saisir l'ID de tâche en colonne C.</t>
  </si>
  <si>
    <t xml:space="preserve">Date</t>
  </si>
  <si>
    <t xml:space="preserve">ID tâche</t>
  </si>
  <si>
    <t xml:space="preserve">Tâche (automatique)</t>
  </si>
  <si>
    <t xml:space="preserve">Heures</t>
  </si>
  <si>
    <t xml:space="preserve">Cumul par membre</t>
  </si>
  <si>
    <t xml:space="preserve">14/09/2026</t>
  </si>
  <si>
    <t xml:space="preserve">Jours-homme</t>
  </si>
  <si>
    <t xml:space="preserve">15/09/2026</t>
  </si>
  <si>
    <t xml:space="preserve">TOTAL</t>
  </si>
  <si>
    <t xml:space="preserve">17/09/2026</t>
  </si>
  <si>
    <t xml:space="preserve">18/09/2026</t>
  </si>
  <si>
    <t xml:space="preserve">21/09/2026</t>
  </si>
  <si>
    <t xml:space="preserve">22/09/2026</t>
  </si>
  <si>
    <t xml:space="preserve">Relecture des documents réglementaires</t>
  </si>
  <si>
    <t xml:space="preserve">Maquette</t>
  </si>
  <si>
    <t xml:space="preserve">Référencement</t>
  </si>
  <si>
    <t xml:space="preserve">Relecture et second follow-up</t>
  </si>
  <si>
    <t xml:space="preserve">Mise au point de la démo</t>
  </si>
  <si>
    <t xml:space="preserve">Vérification des automatisations</t>
  </si>
  <si>
    <t xml:space="preserve">23/09/2026</t>
  </si>
  <si>
    <t xml:space="preserve">Renfort sur les tests unitaires</t>
  </si>
  <si>
    <t xml:space="preserve">24/09/2026</t>
  </si>
  <si>
    <t xml:space="preserve">Première répétition</t>
  </si>
  <si>
    <t xml:space="preserve">Chiffrage réel et écart</t>
  </si>
  <si>
    <t xml:space="preserve">JALONS ET PORTES DE SORTIE</t>
  </si>
  <si>
    <t xml:space="preserve">Repris du cahier des charges. Coche le passage le soir même, pas le lendemain.</t>
  </si>
  <si>
    <t xml:space="preserve">Jalon</t>
  </si>
  <si>
    <t xml:space="preserve">Ce qui doit être vrai</t>
  </si>
  <si>
    <t xml:space="preserve">Si ce n'est pas vrai</t>
  </si>
  <si>
    <t xml:space="preserve">Passé ?</t>
  </si>
  <si>
    <t xml:space="preserve">Constat</t>
  </si>
  <si>
    <t xml:space="preserve">M0</t>
  </si>
  <si>
    <t xml:space="preserve">J1 · 14/09</t>
  </si>
  <si>
    <t xml:space="preserve">Premier appel à l'API France Travail réussi, volumes comptés, département du POC choisi</t>
  </si>
  <si>
    <t xml:space="preserve">Repli sur un fichier téléchargé, indicateur réduit</t>
  </si>
  <si>
    <t xml:space="preserve">API France Travail opérationnelle, volumes comptés</t>
  </si>
  <si>
    <t xml:space="preserve">M1</t>
  </si>
  <si>
    <t xml:space="preserve">J2 · 15/09</t>
  </si>
  <si>
    <t xml:space="preserve">Cahier des charges validé par les cinq, environnement de développement qui démarre</t>
  </si>
  <si>
    <t xml:space="preserve">Le PMO arbitre le soir même</t>
  </si>
  <si>
    <t xml:space="preserve">Cahier des charges validé, environnement fonctionnel</t>
  </si>
  <si>
    <t xml:space="preserve">M2</t>
  </si>
  <si>
    <t xml:space="preserve">J3 · 16/09</t>
  </si>
  <si>
    <t xml:space="preserve">Point go/nogo : périmètre validé, coupes éventuelles actées</t>
  </si>
  <si>
    <t xml:space="preserve">—</t>
  </si>
  <si>
    <t xml:space="preserve">Go/nogo tenu, périmètre validé sans coupe</t>
  </si>
  <si>
    <t xml:space="preserve">M3</t>
  </si>
  <si>
    <t xml:space="preserve">J5 · 18/09</t>
  </si>
  <si>
    <t xml:space="preserve">Comptes, permissions, documents chiffrés, profil, import de données qui tourne</t>
  </si>
  <si>
    <t xml:space="preserve">On coupe les deux optionnelles les moins visibles</t>
  </si>
  <si>
    <t xml:space="preserve">Comptes, permissions, chiffrement, profil et import de données livrés</t>
  </si>
  <si>
    <t xml:space="preserve">M4</t>
  </si>
  <si>
    <t xml:space="preserve">J8 · 23/09</t>
  </si>
  <si>
    <t xml:space="preserve">Parcours complet joué en démo interne, de l'inscription à la validation</t>
  </si>
  <si>
    <t xml:space="preserve">On coupe le reste des optionnelles et on renforce le développement</t>
  </si>
  <si>
    <t xml:space="preserve">Parcours complet fonctionnel de l'inscription à la validation</t>
  </si>
  <si>
    <t xml:space="preserve">M5</t>
  </si>
  <si>
    <t xml:space="preserve">Gel du code. Plus aucune nouvelle fonctionnalité, conformité terminée</t>
  </si>
  <si>
    <t xml:space="preserve">Ce qui n'est pas intégré sort du périmètre</t>
  </si>
  <si>
    <t xml:space="preserve">Gel du code tenu. Périmètre livré, plus aucune nouvelle fonctionnalité.</t>
  </si>
  <si>
    <t xml:space="preserve">M6</t>
  </si>
  <si>
    <t xml:space="preserve">J9 · 24/09</t>
  </si>
  <si>
    <t xml:space="preserve">Couverture de tests générée, parcours critiques au vert, première répétition</t>
  </si>
  <si>
    <t xml:space="preserve">Plan B en captures et vidéo</t>
  </si>
  <si>
    <t xml:space="preserve">Couverture de tests générée, parcours critiques au vert, première répétition faite.</t>
  </si>
  <si>
    <t xml:space="preserve">M7</t>
  </si>
  <si>
    <t xml:space="preserve">J10 · 25/09</t>
  </si>
  <si>
    <t xml:space="preserve">Écart estimé/réel produit, deuxième répétition, soutenance</t>
  </si>
  <si>
    <t xml:space="preserve">Seconde répétition et soutenance.</t>
  </si>
  <si>
    <t xml:space="preserve">ORDRE DE COUPE</t>
  </si>
  <si>
    <t xml:space="preserve">Décidé à froid. Dès qu'une tâche prend une demi-journée de retard, on coupe dans cet ordre, sans nouvelle discussion.</t>
  </si>
  <si>
    <t xml:space="preserve">Rang</t>
  </si>
  <si>
    <t xml:space="preserve">Ce qu'on coupe</t>
  </si>
  <si>
    <t xml:space="preserve">Gain estimé (JH)</t>
  </si>
  <si>
    <t xml:space="preserve">Coupé ?</t>
  </si>
  <si>
    <t xml:space="preserve">Décidé par</t>
  </si>
  <si>
    <t xml:space="preserve">La confirmation de mission générée automatiquement</t>
  </si>
  <si>
    <t xml:space="preserve">L'autocomplétion des intitulés de poste</t>
  </si>
  <si>
    <t xml:space="preserve">Le tableau de suivi des notifications</t>
  </si>
  <si>
    <t xml:space="preserve">Relance manuelle plutôt qu'automatique après un refus</t>
  </si>
  <si>
    <t xml:space="preserve">Liste sans pagination</t>
  </si>
  <si>
    <t xml:space="preserve">Un seul type de document chiffré</t>
  </si>
  <si>
    <t xml:space="preserve">Ce que nous ne couperons jamais</t>
  </si>
  <si>
    <t xml:space="preserve">L'authentification</t>
  </si>
  <si>
    <t xml:space="preserve">Le cycle de vie du besoin</t>
  </si>
  <si>
    <t xml:space="preserve">Le contrôle légal Valletoux</t>
  </si>
  <si>
    <t xml:space="preserve">Le matching et son journal</t>
  </si>
  <si>
    <t xml:space="preserve">Les deux automatisations</t>
  </si>
  <si>
    <t xml:space="preserve">L'indicateur de tension</t>
  </si>
  <si>
    <t xml:space="preserve">Les tests et le rapport de couverture</t>
  </si>
  <si>
    <t xml:space="preserve">La conformité</t>
  </si>
  <si>
    <t xml:space="preserve">RELÈVE, Roadmap fonctionnelle</t>
  </si>
  <si>
    <t xml:space="preserve">1. Priorisation : Maintenant, Ensuite, Plus tard</t>
  </si>
  <si>
    <t xml:space="preserve">Maintenant</t>
  </si>
  <si>
    <t xml:space="preserve">Ensuite</t>
  </si>
  <si>
    <t xml:space="preserve">Plus tard</t>
  </si>
  <si>
    <t xml:space="preserve">Cœur : comptes et sécurité, métier, matching</t>
  </si>
  <si>
    <t xml:space="preserve">Données publiques, automatisations, conformité, qualité</t>
  </si>
  <si>
    <t xml:space="preserve">Fonctionnalités optionnelles</t>
  </si>
  <si>
    <t xml:space="preserve">2. Jalons M0 à M7</t>
  </si>
  <si>
    <t xml:space="preserve">Critère de passage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</si>
</sst>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"/>
    <numFmt numFmtId="167" formatCode="0.0"/>
    <numFmt numFmtId="168" formatCode="0.0%"/>
    <numFmt numFmtId="169" formatCode="m/d/yy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A4165"/>
      <name val="Arial"/>
      <family val="2"/>
      <charset val="1"/>
    </font>
    <font>
      <i val="true"/>
      <sz val="9"/>
      <color rgb="FF595959"/>
      <name val="Arial"/>
      <family val="2"/>
      <charset val="1"/>
    </font>
    <font>
      <b val="true"/>
      <sz val="12"/>
      <color rgb="FF2A4165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1F4E79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2"/>
      <color rgb="FF1F3864"/>
      <name val="Arial"/>
      <family val="2"/>
      <charset val="1"/>
    </font>
    <font>
      <i val="true"/>
      <sz val="9"/>
      <color rgb="FF9E3B2E"/>
      <name val="Arial"/>
      <family val="2"/>
      <charset val="1"/>
    </font>
    <font>
      <b val="true"/>
      <sz val="14"/>
      <color rgb="FF1F3864"/>
      <name val="Arial"/>
      <family val="2"/>
      <charset val="1"/>
    </font>
    <font>
      <sz val="10"/>
      <color theme="1"/>
      <name val="Arial"/>
      <family val="2"/>
      <charset val="1"/>
    </font>
    <font>
      <i val="true"/>
      <sz val="10"/>
      <color theme="1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6E0"/>
        <bgColor rgb="FFFFF2CC"/>
      </patternFill>
    </fill>
    <fill>
      <patternFill patternType="solid">
        <fgColor rgb="FF3E5C82"/>
        <bgColor rgb="FF595959"/>
      </patternFill>
    </fill>
    <fill>
      <patternFill patternType="solid">
        <fgColor rgb="FFF4F6F8"/>
        <bgColor rgb="FFF2F2F2"/>
      </patternFill>
    </fill>
    <fill>
      <patternFill patternType="solid">
        <fgColor rgb="FFFFF2CC"/>
        <bgColor rgb="FFFFF6E0"/>
      </patternFill>
    </fill>
    <fill>
      <patternFill patternType="solid">
        <fgColor rgb="FFEAF0F8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1F3864"/>
        <bgColor rgb="FF2A4165"/>
      </patternFill>
    </fill>
    <fill>
      <patternFill patternType="solid">
        <fgColor rgb="FFEDEDED"/>
        <bgColor rgb="FFEAF0F8"/>
      </patternFill>
    </fill>
    <fill>
      <patternFill patternType="solid">
        <fgColor rgb="FFDEEAF6"/>
        <bgColor rgb="FFEAF0F8"/>
      </patternFill>
    </fill>
    <fill>
      <patternFill patternType="solid">
        <fgColor rgb="FFF2F2F2"/>
        <bgColor rgb="FFF4F6F8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8FA8C8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8FA8C8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medium">
        <color rgb="FF8FA8C8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medium">
        <color rgb="FF8FA8C8"/>
      </top>
      <bottom/>
      <diagonal/>
    </border>
    <border diagonalUp="false" diagonalDown="false"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2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1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1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1" shrinkToFit="false"/>
      <protection locked="true" hidden="false"/>
    </xf>
    <xf numFmtId="164" fontId="15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3E5C8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6E0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EAF0F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4F6F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558ED5"/>
      <rgbColor rgb="FF9999FF"/>
      <rgbColor rgb="FF595959"/>
      <rgbColor rgb="FFFFF6E0"/>
      <rgbColor rgb="FFDEEAF6"/>
      <rgbColor rgb="FF660066"/>
      <rgbColor rgb="FFFF8080"/>
      <rgbColor rgb="FF0066CC"/>
      <rgbColor rgb="FFD7E4B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8"/>
      <rgbColor rgb="FFE2EFDA"/>
      <rgbColor rgb="FFFFF2CC"/>
      <rgbColor rgb="FF93CDDD"/>
      <rgbColor rgb="FFEDEDED"/>
      <rgbColor rgb="FFF2F2F2"/>
      <rgbColor rgb="FFFAC090"/>
      <rgbColor rgb="FF3E5C82"/>
      <rgbColor rgb="FF33CCCC"/>
      <rgbColor rgb="FF99CC00"/>
      <rgbColor rgb="FFFFCC00"/>
      <rgbColor rgb="FFFF9900"/>
      <rgbColor rgb="FFE46C0A"/>
      <rgbColor rgb="FF8064A2"/>
      <rgbColor rgb="FF8FA8C8"/>
      <rgbColor rgb="FF1F3864"/>
      <rgbColor rgb="FF339966"/>
      <rgbColor rgb="FF003300"/>
      <rgbColor rgb="FF333300"/>
      <rgbColor rgb="FF9E3B2E"/>
      <rgbColor rgb="FF993366"/>
      <rgbColor rgb="FF1F4E79"/>
      <rgbColor rgb="FF2A416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3CDDD"/>
    <pageSetUpPr fitToPage="false"/>
  </sheetPr>
  <dimension ref="B2:E44"/>
  <sheetViews>
    <sheetView showFormulas="false" showGridLines="false" showRowColHeaders="true" showZeros="true" rightToLeft="false" tabSelected="true" showOutlineSymbols="true" defaultGridColor="true" view="normal" topLeftCell="B20" colorId="64" zoomScale="100" zoomScaleNormal="100" zoomScalePageLayoutView="100" workbookViewId="0">
      <selection pane="topLeft" activeCell="D41" activeCellId="0" sqref="D4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62"/>
    <col collapsed="false" customWidth="true" hidden="false" outlineLevel="0" max="5" min="5" style="0" width="14"/>
  </cols>
  <sheetData>
    <row r="2" customFormat="false" ht="18" hidden="false" customHeight="true" outlineLevel="0" collapsed="false">
      <c r="B2" s="1" t="s">
        <v>0</v>
      </c>
    </row>
    <row r="3" customFormat="false" ht="15" hidden="false" customHeight="true" outlineLevel="0" collapsed="false">
      <c r="B3" s="2"/>
    </row>
    <row r="4" customFormat="false" ht="15" hidden="false" customHeight="true" outlineLevel="0" collapsed="false">
      <c r="B4" s="2"/>
    </row>
    <row r="6" customFormat="false" ht="15.75" hidden="false" customHeight="true" outlineLevel="0" collapsed="false">
      <c r="B6" s="3" t="s">
        <v>1</v>
      </c>
    </row>
    <row r="7" customFormat="false" ht="15" hidden="false" customHeight="true" outlineLevel="0" collapsed="false">
      <c r="B7" s="4" t="s">
        <v>2</v>
      </c>
      <c r="C7" s="5" t="s">
        <v>3</v>
      </c>
      <c r="D7" s="2" t="s">
        <v>4</v>
      </c>
    </row>
    <row r="8" customFormat="false" ht="15" hidden="false" customHeight="true" outlineLevel="0" collapsed="false">
      <c r="B8" s="4" t="s">
        <v>5</v>
      </c>
      <c r="C8" s="5" t="s">
        <v>6</v>
      </c>
      <c r="D8" s="2" t="s">
        <v>7</v>
      </c>
    </row>
    <row r="9" customFormat="false" ht="15" hidden="false" customHeight="true" outlineLevel="0" collapsed="false">
      <c r="B9" s="4" t="s">
        <v>8</v>
      </c>
      <c r="C9" s="5" t="n">
        <v>5</v>
      </c>
      <c r="D9" s="2" t="s">
        <v>9</v>
      </c>
    </row>
    <row r="10" customFormat="false" ht="15" hidden="false" customHeight="true" outlineLevel="0" collapsed="false">
      <c r="B10" s="4" t="s">
        <v>10</v>
      </c>
      <c r="C10" s="5" t="s">
        <v>11</v>
      </c>
      <c r="D10" s="2" t="s">
        <v>12</v>
      </c>
    </row>
    <row r="11" customFormat="false" ht="15" hidden="false" customHeight="true" outlineLevel="0" collapsed="false">
      <c r="B11" s="4" t="s">
        <v>13</v>
      </c>
      <c r="C11" s="5" t="s">
        <v>14</v>
      </c>
      <c r="D11" s="2" t="s">
        <v>15</v>
      </c>
    </row>
    <row r="12" customFormat="false" ht="15" hidden="false" customHeight="true" outlineLevel="0" collapsed="false">
      <c r="B12" s="4" t="s">
        <v>16</v>
      </c>
      <c r="C12" s="5" t="s">
        <v>17</v>
      </c>
      <c r="D12" s="2" t="s">
        <v>18</v>
      </c>
    </row>
    <row r="13" customFormat="false" ht="15" hidden="false" customHeight="true" outlineLevel="0" collapsed="false">
      <c r="B13" s="4" t="s">
        <v>19</v>
      </c>
      <c r="C13" s="5" t="s">
        <v>20</v>
      </c>
      <c r="D13" s="2" t="s">
        <v>21</v>
      </c>
    </row>
    <row r="15" customFormat="false" ht="15.75" hidden="false" customHeight="true" outlineLevel="0" collapsed="false">
      <c r="B15" s="3" t="s">
        <v>22</v>
      </c>
    </row>
    <row r="16" customFormat="false" ht="15.75" hidden="false" customHeight="true" outlineLevel="0" collapsed="false">
      <c r="B16" s="2" t="s">
        <v>23</v>
      </c>
    </row>
    <row r="17" customFormat="false" ht="31.5" hidden="false" customHeight="true" outlineLevel="0" collapsed="false">
      <c r="B17" s="6" t="s">
        <v>24</v>
      </c>
      <c r="C17" s="6" t="s">
        <v>25</v>
      </c>
      <c r="D17" s="6" t="s">
        <v>26</v>
      </c>
    </row>
    <row r="18" customFormat="false" ht="15" hidden="false" customHeight="true" outlineLevel="0" collapsed="false">
      <c r="B18" s="7" t="s">
        <v>27</v>
      </c>
      <c r="C18" s="8" t="n">
        <v>5</v>
      </c>
      <c r="D18" s="9" t="s">
        <v>28</v>
      </c>
    </row>
    <row r="19" customFormat="false" ht="15" hidden="false" customHeight="true" outlineLevel="0" collapsed="false">
      <c r="B19" s="10" t="s">
        <v>29</v>
      </c>
      <c r="C19" s="11" t="n">
        <v>10</v>
      </c>
      <c r="D19" s="2" t="s">
        <v>30</v>
      </c>
    </row>
    <row r="20" customFormat="false" ht="15" hidden="false" customHeight="true" outlineLevel="0" collapsed="false">
      <c r="B20" s="12" t="s">
        <v>31</v>
      </c>
      <c r="C20" s="13" t="n">
        <v>0.5</v>
      </c>
      <c r="D20" s="2" t="s">
        <v>32</v>
      </c>
    </row>
    <row r="21" customFormat="false" ht="15" hidden="false" customHeight="true" outlineLevel="0" collapsed="false">
      <c r="B21" s="14" t="s">
        <v>33</v>
      </c>
      <c r="C21" s="15" t="n">
        <f aca="false">C18*(C19+C20)</f>
        <v>52.5</v>
      </c>
      <c r="D21" s="2" t="s">
        <v>34</v>
      </c>
    </row>
    <row r="22" customFormat="false" ht="15" hidden="false" customHeight="true" outlineLevel="0" collapsed="false">
      <c r="B22" s="12" t="s">
        <v>35</v>
      </c>
      <c r="C22" s="16" t="n">
        <f aca="false">C21*6.25</f>
        <v>328.125</v>
      </c>
    </row>
    <row r="23" customFormat="false" ht="15" hidden="false" customHeight="true" outlineLevel="0" collapsed="false">
      <c r="B23" s="12" t="s">
        <v>36</v>
      </c>
      <c r="C23" s="17" t="n">
        <f aca="false">IFERROR(Chiffrage!G53,0)</f>
        <v>48</v>
      </c>
    </row>
    <row r="24" customFormat="false" ht="15" hidden="false" customHeight="true" outlineLevel="0" collapsed="false">
      <c r="B24" s="18" t="s">
        <v>37</v>
      </c>
      <c r="C24" s="19" t="n">
        <f aca="false">C21-C23</f>
        <v>4.5</v>
      </c>
    </row>
    <row r="25" customFormat="false" ht="15" hidden="false" customHeight="true" outlineLevel="0" collapsed="false">
      <c r="B25" s="18" t="s">
        <v>38</v>
      </c>
      <c r="C25" s="20" t="n">
        <f aca="false">IFERROR(C23/C21,0)</f>
        <v>0.914285714285714</v>
      </c>
    </row>
    <row r="26" customFormat="false" ht="15" hidden="false" customHeight="true" outlineLevel="0" collapsed="false">
      <c r="B26" s="21" t="s">
        <v>39</v>
      </c>
      <c r="C26" s="22" t="str">
        <f aca="false">IF(C23=0,"À chiffrer",IF(C25&gt;0.9,"TROP TENDU",IF(C25&gt;0.85,"Tenable, marge faible","Confortable")))</f>
        <v>TROP TENDU</v>
      </c>
      <c r="D26" s="4"/>
    </row>
    <row r="28" customFormat="false" ht="15.75" hidden="false" customHeight="true" outlineLevel="0" collapsed="false">
      <c r="B28" s="3" t="s">
        <v>40</v>
      </c>
    </row>
    <row r="29" customFormat="false" ht="15.75" hidden="false" customHeight="true" outlineLevel="0" collapsed="false">
      <c r="B29" s="2"/>
    </row>
    <row r="30" customFormat="false" ht="31.5" hidden="false" customHeight="true" outlineLevel="0" collapsed="false">
      <c r="B30" s="6" t="s">
        <v>41</v>
      </c>
      <c r="C30" s="6" t="s">
        <v>42</v>
      </c>
      <c r="D30" s="6" t="s">
        <v>43</v>
      </c>
      <c r="E30" s="23" t="s">
        <v>44</v>
      </c>
    </row>
    <row r="31" customFormat="false" ht="15" hidden="false" customHeight="true" outlineLevel="0" collapsed="false">
      <c r="B31" s="24" t="s">
        <v>45</v>
      </c>
      <c r="C31" s="25" t="n">
        <f aca="false">SUMIF(Chiffrage!$E:$E,B31,Chiffrage!$G:$G)</f>
        <v>8.25</v>
      </c>
      <c r="D31" s="25" t="n">
        <f aca="false">$C$19+$C$20</f>
        <v>10.5</v>
      </c>
      <c r="E31" s="26" t="n">
        <f aca="false">IFERROR(C31/D31,0)</f>
        <v>0.785714285714286</v>
      </c>
    </row>
    <row r="32" customFormat="false" ht="15" hidden="false" customHeight="true" outlineLevel="0" collapsed="false">
      <c r="B32" s="27" t="s">
        <v>46</v>
      </c>
      <c r="C32" s="28" t="n">
        <f aca="false">SUMIF(Chiffrage!$E:$E,B32,Chiffrage!$G:$G)</f>
        <v>10.25</v>
      </c>
      <c r="D32" s="28" t="n">
        <f aca="false">$C$19+$C$20</f>
        <v>10.5</v>
      </c>
      <c r="E32" s="29" t="n">
        <f aca="false">IFERROR(C32/D32,0)</f>
        <v>0.976190476190476</v>
      </c>
    </row>
    <row r="33" customFormat="false" ht="15" hidden="false" customHeight="true" outlineLevel="0" collapsed="false">
      <c r="B33" s="30" t="s">
        <v>47</v>
      </c>
      <c r="C33" s="31" t="n">
        <f aca="false">SUMIF(Chiffrage!$E:$E,B33,Chiffrage!$G:$G)</f>
        <v>10.5</v>
      </c>
      <c r="D33" s="31" t="n">
        <f aca="false">$C$19+$C$20</f>
        <v>10.5</v>
      </c>
      <c r="E33" s="32" t="n">
        <f aca="false">IFERROR(C33/D33,0)</f>
        <v>1</v>
      </c>
    </row>
    <row r="34" customFormat="false" ht="15" hidden="false" customHeight="true" outlineLevel="0" collapsed="false">
      <c r="B34" s="30" t="s">
        <v>48</v>
      </c>
      <c r="C34" s="31" t="n">
        <f aca="false">SUMIF(Chiffrage!$E:$E,B34,Chiffrage!$G:$G)</f>
        <v>9.25</v>
      </c>
      <c r="D34" s="31" t="n">
        <f aca="false">$C$19+$C$20</f>
        <v>10.5</v>
      </c>
      <c r="E34" s="32" t="n">
        <f aca="false">IFERROR(C34/D34,0)</f>
        <v>0.880952380952381</v>
      </c>
    </row>
    <row r="35" customFormat="false" ht="15" hidden="false" customHeight="true" outlineLevel="0" collapsed="false">
      <c r="B35" s="30" t="s">
        <v>49</v>
      </c>
      <c r="C35" s="31" t="n">
        <f aca="false">SUMIF(Chiffrage!$E:$E,B35,Chiffrage!$G:$G)</f>
        <v>9.75</v>
      </c>
      <c r="D35" s="31" t="n">
        <f aca="false">$C$19+$C$20</f>
        <v>10.5</v>
      </c>
      <c r="E35" s="32" t="n">
        <f aca="false">IFERROR(C35/D35,0)</f>
        <v>0.928571428571429</v>
      </c>
    </row>
    <row r="36" customFormat="false" ht="15" hidden="false" customHeight="true" outlineLevel="0" collapsed="false">
      <c r="B36" s="2"/>
    </row>
    <row r="37" customFormat="false" ht="15" hidden="false" customHeight="true" outlineLevel="0" collapsed="false">
      <c r="B37" s="2" t="s">
        <v>50</v>
      </c>
    </row>
    <row r="38" customFormat="false" ht="15.75" hidden="false" customHeight="true" outlineLevel="0" collapsed="false">
      <c r="B38" s="33"/>
    </row>
    <row r="39" customFormat="false" ht="27.75" hidden="false" customHeight="true" outlineLevel="0" collapsed="false">
      <c r="B39" s="4"/>
      <c r="D39" s="34"/>
    </row>
    <row r="40" customFormat="false" ht="27.75" hidden="false" customHeight="true" outlineLevel="0" collapsed="false">
      <c r="B40" s="4"/>
      <c r="D40" s="34"/>
    </row>
    <row r="41" customFormat="false" ht="27.75" hidden="false" customHeight="true" outlineLevel="0" collapsed="false">
      <c r="B41" s="4"/>
      <c r="D41" s="34"/>
    </row>
    <row r="42" customFormat="false" ht="27.75" hidden="false" customHeight="true" outlineLevel="0" collapsed="false">
      <c r="B42" s="4"/>
      <c r="D42" s="34"/>
    </row>
    <row r="43" customFormat="false" ht="27.75" hidden="false" customHeight="true" outlineLevel="0" collapsed="false">
      <c r="B43" s="4"/>
      <c r="D43" s="34"/>
    </row>
    <row r="44" customFormat="false" ht="27.75" hidden="false" customHeight="true" outlineLevel="0" collapsed="false">
      <c r="B44" s="4"/>
      <c r="D44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46C0A"/>
    <pageSetUpPr fitToPage="false"/>
  </sheetPr>
  <dimension ref="A1:M62"/>
  <sheetViews>
    <sheetView showFormulas="false" showGridLines="false" showRowColHeaders="true" showZeros="true" rightToLeft="false" tabSelected="false" showOutlineSymbols="true" defaultGridColor="true" view="normal" topLeftCell="A1" colorId="64" zoomScale="132" zoomScaleNormal="132" zoomScalePageLayoutView="100" workbookViewId="0">
      <pane xSplit="0" ySplit="4" topLeftCell="A26" activePane="bottomLeft" state="frozen"/>
      <selection pane="topLeft" activeCell="A1" activeCellId="0" sqref="A1"/>
      <selection pane="bottomLeft" activeCell="B39" activeCellId="0" sqref="B39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6"/>
    <col collapsed="false" customWidth="true" hidden="false" outlineLevel="0" max="3" min="3" style="0" width="4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11" min="7" style="0" width="9"/>
    <col collapsed="false" customWidth="true" hidden="false" outlineLevel="0" max="12" min="12" style="0" width="13"/>
    <col collapsed="false" customWidth="true" hidden="false" outlineLevel="0" max="13" min="13" style="0" width="30"/>
  </cols>
  <sheetData>
    <row r="1" customFormat="false" ht="18" hidden="false" customHeight="true" outlineLevel="0" collapsed="false">
      <c r="A1" s="1" t="s">
        <v>51</v>
      </c>
    </row>
    <row r="2" customFormat="false" ht="15" hidden="false" customHeight="true" outlineLevel="0" collapsed="false">
      <c r="A2" s="2"/>
    </row>
    <row r="3" customFormat="false" ht="15.75" hidden="false" customHeight="true" outlineLevel="0" collapsed="false">
      <c r="A3" s="35" t="s">
        <v>52</v>
      </c>
    </row>
    <row r="4" customFormat="false" ht="31.5" hidden="false" customHeight="true" outlineLevel="0" collapsed="false">
      <c r="A4" s="6" t="s">
        <v>53</v>
      </c>
      <c r="B4" s="6" t="s">
        <v>54</v>
      </c>
      <c r="C4" s="6" t="s">
        <v>55</v>
      </c>
      <c r="D4" s="6" t="s">
        <v>56</v>
      </c>
      <c r="E4" s="6" t="s">
        <v>57</v>
      </c>
      <c r="F4" s="6" t="s">
        <v>58</v>
      </c>
      <c r="G4" s="6" t="s">
        <v>59</v>
      </c>
      <c r="H4" s="6" t="s">
        <v>60</v>
      </c>
      <c r="I4" s="6" t="s">
        <v>61</v>
      </c>
      <c r="J4" s="6" t="s">
        <v>62</v>
      </c>
      <c r="K4" s="6" t="s">
        <v>63</v>
      </c>
      <c r="L4" s="6" t="s">
        <v>64</v>
      </c>
      <c r="M4" s="6" t="s">
        <v>65</v>
      </c>
    </row>
    <row r="5" customFormat="false" ht="15" hidden="false" customHeight="true" outlineLevel="0" collapsed="false">
      <c r="A5" s="7" t="s">
        <v>66</v>
      </c>
      <c r="B5" s="7" t="s">
        <v>67</v>
      </c>
      <c r="C5" s="7" t="s">
        <v>68</v>
      </c>
      <c r="D5" s="36" t="s">
        <v>69</v>
      </c>
      <c r="E5" s="24" t="s">
        <v>45</v>
      </c>
      <c r="F5" s="24" t="s">
        <v>70</v>
      </c>
      <c r="G5" s="37" t="n">
        <v>1.5</v>
      </c>
      <c r="H5" s="38" t="n">
        <f aca="false">G5*6.25</f>
        <v>9.375</v>
      </c>
      <c r="I5" s="38" t="n">
        <f aca="false">SUMIF('Suivi temps'!$C:$C,B5,'Suivi temps'!$E:$E)</f>
        <v>6.25</v>
      </c>
      <c r="J5" s="38" t="n">
        <f aca="false">IF(I5=0,0,I5-H5)</f>
        <v>-3.125</v>
      </c>
      <c r="K5" s="26" t="n">
        <f aca="false">IFERROR(J5/H5,0)</f>
        <v>-0.333333333333333</v>
      </c>
      <c r="L5" s="24" t="s">
        <v>71</v>
      </c>
      <c r="M5" s="7"/>
    </row>
    <row r="6" customFormat="false" ht="15" hidden="false" customHeight="true" outlineLevel="0" collapsed="false">
      <c r="A6" s="10" t="s">
        <v>66</v>
      </c>
      <c r="B6" s="10" t="s">
        <v>72</v>
      </c>
      <c r="C6" s="10" t="s">
        <v>73</v>
      </c>
      <c r="D6" s="39" t="s">
        <v>69</v>
      </c>
      <c r="E6" s="27" t="s">
        <v>45</v>
      </c>
      <c r="F6" s="27" t="s">
        <v>70</v>
      </c>
      <c r="G6" s="40" t="n">
        <v>1</v>
      </c>
      <c r="H6" s="41" t="n">
        <f aca="false">G6*6.25</f>
        <v>6.25</v>
      </c>
      <c r="I6" s="41" t="n">
        <f aca="false">SUMIF('Suivi temps'!$C:$C,B6,'Suivi temps'!$E:$E)</f>
        <v>6.25</v>
      </c>
      <c r="J6" s="41" t="n">
        <f aca="false">IF(I6=0,0,I6-H6)</f>
        <v>0</v>
      </c>
      <c r="K6" s="29" t="n">
        <f aca="false">IFERROR(J6/H6,0)</f>
        <v>0</v>
      </c>
      <c r="L6" s="27" t="s">
        <v>71</v>
      </c>
      <c r="M6" s="10"/>
    </row>
    <row r="7" customFormat="false" ht="15" hidden="false" customHeight="true" outlineLevel="0" collapsed="false">
      <c r="A7" s="12" t="s">
        <v>66</v>
      </c>
      <c r="B7" s="12" t="s">
        <v>74</v>
      </c>
      <c r="C7" s="12" t="s">
        <v>75</v>
      </c>
      <c r="D7" s="42" t="s">
        <v>69</v>
      </c>
      <c r="E7" s="30" t="s">
        <v>47</v>
      </c>
      <c r="F7" s="30" t="s">
        <v>70</v>
      </c>
      <c r="G7" s="43" t="n">
        <v>1.5</v>
      </c>
      <c r="H7" s="44" t="n">
        <f aca="false">G7*6.25</f>
        <v>9.375</v>
      </c>
      <c r="I7" s="44" t="n">
        <f aca="false">SUMIF('Suivi temps'!$C:$C,B7,'Suivi temps'!$E:$E)</f>
        <v>6.25</v>
      </c>
      <c r="J7" s="44" t="n">
        <f aca="false">IF(I7=0,0,I7-H7)</f>
        <v>-3.125</v>
      </c>
      <c r="K7" s="32" t="n">
        <f aca="false">IFERROR(J7/H7,0)</f>
        <v>-0.333333333333333</v>
      </c>
      <c r="L7" s="30" t="s">
        <v>71</v>
      </c>
      <c r="M7" s="12"/>
    </row>
    <row r="8" customFormat="false" ht="15" hidden="false" customHeight="true" outlineLevel="0" collapsed="false">
      <c r="A8" s="12" t="s">
        <v>66</v>
      </c>
      <c r="B8" s="12" t="s">
        <v>76</v>
      </c>
      <c r="C8" s="12" t="s">
        <v>77</v>
      </c>
      <c r="D8" s="42" t="s">
        <v>69</v>
      </c>
      <c r="E8" s="30" t="s">
        <v>48</v>
      </c>
      <c r="F8" s="30" t="s">
        <v>70</v>
      </c>
      <c r="G8" s="43" t="n">
        <v>0.75</v>
      </c>
      <c r="H8" s="44" t="n">
        <f aca="false">G8*6.25</f>
        <v>4.6875</v>
      </c>
      <c r="I8" s="44" t="n">
        <f aca="false">SUMIF('Suivi temps'!$C:$C,B8,'Suivi temps'!$E:$E)</f>
        <v>6.25</v>
      </c>
      <c r="J8" s="44" t="n">
        <f aca="false">IF(I8=0,0,I8-H8)</f>
        <v>1.5625</v>
      </c>
      <c r="K8" s="32" t="n">
        <f aca="false">IFERROR(J8/H8,0)</f>
        <v>0.333333333333333</v>
      </c>
      <c r="L8" s="30" t="s">
        <v>71</v>
      </c>
      <c r="M8" s="12"/>
    </row>
    <row r="9" customFormat="false" ht="15" hidden="false" customHeight="true" outlineLevel="0" collapsed="false">
      <c r="A9" s="12" t="s">
        <v>66</v>
      </c>
      <c r="B9" s="12" t="s">
        <v>78</v>
      </c>
      <c r="C9" s="12" t="s">
        <v>79</v>
      </c>
      <c r="D9" s="42" t="s">
        <v>80</v>
      </c>
      <c r="E9" s="30" t="s">
        <v>46</v>
      </c>
      <c r="F9" s="30" t="s">
        <v>81</v>
      </c>
      <c r="G9" s="43" t="n">
        <v>0.75</v>
      </c>
      <c r="H9" s="44" t="n">
        <f aca="false">G9*6.25</f>
        <v>4.6875</v>
      </c>
      <c r="I9" s="44" t="n">
        <f aca="false">SUMIF('Suivi temps'!$C:$C,B9,'Suivi temps'!$E:$E)</f>
        <v>6.25</v>
      </c>
      <c r="J9" s="44" t="n">
        <f aca="false">IF(I9=0,0,I9-H9)</f>
        <v>1.5625</v>
      </c>
      <c r="K9" s="32" t="n">
        <f aca="false">IFERROR(J9/H9,0)</f>
        <v>0.333333333333333</v>
      </c>
      <c r="L9" s="30" t="s">
        <v>71</v>
      </c>
      <c r="M9" s="12"/>
    </row>
    <row r="10" customFormat="false" ht="15" hidden="false" customHeight="true" outlineLevel="0" collapsed="false">
      <c r="A10" s="12" t="s">
        <v>66</v>
      </c>
      <c r="B10" s="12" t="s">
        <v>82</v>
      </c>
      <c r="C10" s="12" t="s">
        <v>83</v>
      </c>
      <c r="D10" s="42" t="s">
        <v>80</v>
      </c>
      <c r="E10" s="30" t="s">
        <v>47</v>
      </c>
      <c r="F10" s="30" t="s">
        <v>70</v>
      </c>
      <c r="G10" s="43" t="n">
        <v>2.75</v>
      </c>
      <c r="H10" s="44" t="n">
        <f aca="false">G10*6.25</f>
        <v>17.1875</v>
      </c>
      <c r="I10" s="44" t="n">
        <f aca="false">SUMIF('Suivi temps'!$C:$C,B10,'Suivi temps'!$E:$E)</f>
        <v>12.5</v>
      </c>
      <c r="J10" s="44" t="n">
        <f aca="false">IF(I10=0,0,I10-H10)</f>
        <v>-4.6875</v>
      </c>
      <c r="K10" s="32" t="n">
        <f aca="false">IFERROR(J10/H10,0)</f>
        <v>-0.272727272727273</v>
      </c>
      <c r="L10" s="30" t="s">
        <v>84</v>
      </c>
      <c r="M10" s="12" t="s">
        <v>85</v>
      </c>
    </row>
    <row r="11" customFormat="false" ht="15" hidden="false" customHeight="true" outlineLevel="0" collapsed="false">
      <c r="A11" s="12" t="s">
        <v>86</v>
      </c>
      <c r="B11" s="12" t="s">
        <v>87</v>
      </c>
      <c r="C11" s="12" t="s">
        <v>88</v>
      </c>
      <c r="D11" s="42" t="s">
        <v>69</v>
      </c>
      <c r="E11" s="30" t="s">
        <v>47</v>
      </c>
      <c r="F11" s="30" t="s">
        <v>70</v>
      </c>
      <c r="G11" s="43" t="n">
        <v>0.75</v>
      </c>
      <c r="H11" s="44" t="n">
        <f aca="false">G11*6.25</f>
        <v>4.6875</v>
      </c>
      <c r="I11" s="44" t="n">
        <f aca="false">SUMIF('Suivi temps'!$C:$C,B11,'Suivi temps'!$E:$E)</f>
        <v>9.4</v>
      </c>
      <c r="J11" s="44" t="n">
        <f aca="false">IF(I11=0,0,I11-H11)</f>
        <v>4.7125</v>
      </c>
      <c r="K11" s="32" t="n">
        <f aca="false">IFERROR(J11/H11,0)</f>
        <v>1.00533333333333</v>
      </c>
      <c r="L11" s="30" t="s">
        <v>71</v>
      </c>
      <c r="M11" s="12"/>
    </row>
    <row r="12" customFormat="false" ht="15" hidden="false" customHeight="true" outlineLevel="0" collapsed="false">
      <c r="A12" s="12" t="s">
        <v>86</v>
      </c>
      <c r="B12" s="12" t="s">
        <v>89</v>
      </c>
      <c r="C12" s="12" t="s">
        <v>90</v>
      </c>
      <c r="D12" s="42" t="s">
        <v>69</v>
      </c>
      <c r="E12" s="30" t="s">
        <v>47</v>
      </c>
      <c r="F12" s="30" t="s">
        <v>70</v>
      </c>
      <c r="G12" s="43" t="n">
        <v>1.25</v>
      </c>
      <c r="H12" s="44" t="n">
        <f aca="false">G12*6.25</f>
        <v>7.8125</v>
      </c>
      <c r="I12" s="44" t="n">
        <f aca="false">SUMIF('Suivi temps'!$C:$C,B12,'Suivi temps'!$E:$E)</f>
        <v>9.35</v>
      </c>
      <c r="J12" s="44" t="n">
        <f aca="false">IF(I12=0,0,I12-H12)</f>
        <v>1.5375</v>
      </c>
      <c r="K12" s="32" t="n">
        <f aca="false">IFERROR(J12/H12,0)</f>
        <v>0.1968</v>
      </c>
      <c r="L12" s="30" t="s">
        <v>71</v>
      </c>
      <c r="M12" s="12"/>
    </row>
    <row r="13" customFormat="false" ht="15" hidden="false" customHeight="true" outlineLevel="0" collapsed="false">
      <c r="A13" s="12" t="s">
        <v>86</v>
      </c>
      <c r="B13" s="12" t="s">
        <v>91</v>
      </c>
      <c r="C13" s="12" t="s">
        <v>92</v>
      </c>
      <c r="D13" s="42" t="s">
        <v>80</v>
      </c>
      <c r="E13" s="30" t="s">
        <v>47</v>
      </c>
      <c r="F13" s="30" t="s">
        <v>81</v>
      </c>
      <c r="G13" s="43" t="n">
        <v>0.75</v>
      </c>
      <c r="H13" s="44" t="n">
        <f aca="false">G13*6.25</f>
        <v>4.6875</v>
      </c>
      <c r="I13" s="44" t="n">
        <f aca="false">SUMIF('Suivi temps'!$C:$C,B13,'Suivi temps'!$E:$E)</f>
        <v>6.25</v>
      </c>
      <c r="J13" s="44" t="n">
        <f aca="false">IF(I13=0,0,I13-H13)</f>
        <v>1.5625</v>
      </c>
      <c r="K13" s="32" t="n">
        <f aca="false">IFERROR(J13/H13,0)</f>
        <v>0.333333333333333</v>
      </c>
      <c r="L13" s="30" t="s">
        <v>71</v>
      </c>
      <c r="M13" s="12"/>
    </row>
    <row r="14" customFormat="false" ht="15" hidden="false" customHeight="true" outlineLevel="0" collapsed="false">
      <c r="A14" s="12" t="s">
        <v>86</v>
      </c>
      <c r="B14" s="12" t="s">
        <v>93</v>
      </c>
      <c r="C14" s="12" t="s">
        <v>94</v>
      </c>
      <c r="D14" s="42" t="s">
        <v>80</v>
      </c>
      <c r="E14" s="30" t="s">
        <v>46</v>
      </c>
      <c r="F14" s="30" t="s">
        <v>81</v>
      </c>
      <c r="G14" s="43" t="n">
        <v>1</v>
      </c>
      <c r="H14" s="44" t="n">
        <f aca="false">G14*6.25</f>
        <v>6.25</v>
      </c>
      <c r="I14" s="44" t="n">
        <f aca="false">SUMIF('Suivi temps'!$C:$C,B14,'Suivi temps'!$E:$E)</f>
        <v>9.4</v>
      </c>
      <c r="J14" s="44" t="n">
        <f aca="false">IF(I14=0,0,I14-H14)</f>
        <v>3.15</v>
      </c>
      <c r="K14" s="32" t="n">
        <f aca="false">IFERROR(J14/H14,0)</f>
        <v>0.504</v>
      </c>
      <c r="L14" s="30" t="s">
        <v>71</v>
      </c>
      <c r="M14" s="12"/>
    </row>
    <row r="15" customFormat="false" ht="15" hidden="false" customHeight="true" outlineLevel="0" collapsed="false">
      <c r="A15" s="12" t="s">
        <v>95</v>
      </c>
      <c r="B15" s="12" t="s">
        <v>96</v>
      </c>
      <c r="C15" s="12" t="s">
        <v>97</v>
      </c>
      <c r="D15" s="42" t="s">
        <v>69</v>
      </c>
      <c r="E15" s="30" t="s">
        <v>46</v>
      </c>
      <c r="F15" s="30" t="s">
        <v>70</v>
      </c>
      <c r="G15" s="43" t="n">
        <v>0.75</v>
      </c>
      <c r="H15" s="44" t="n">
        <f aca="false">G15*6.25</f>
        <v>4.6875</v>
      </c>
      <c r="I15" s="44" t="n">
        <f aca="false">SUMIF('Suivi temps'!$C:$C,B15,'Suivi temps'!$E:$E)</f>
        <v>6.25</v>
      </c>
      <c r="J15" s="44" t="n">
        <f aca="false">IF(I15=0,0,I15-H15)</f>
        <v>1.5625</v>
      </c>
      <c r="K15" s="32" t="n">
        <f aca="false">IFERROR(J15/H15,0)</f>
        <v>0.333333333333333</v>
      </c>
      <c r="L15" s="30" t="s">
        <v>71</v>
      </c>
      <c r="M15" s="12"/>
    </row>
    <row r="16" customFormat="false" ht="15" hidden="false" customHeight="true" outlineLevel="0" collapsed="false">
      <c r="A16" s="12" t="s">
        <v>95</v>
      </c>
      <c r="B16" s="12" t="s">
        <v>98</v>
      </c>
      <c r="C16" s="12" t="s">
        <v>99</v>
      </c>
      <c r="D16" s="42" t="s">
        <v>69</v>
      </c>
      <c r="E16" s="30" t="s">
        <v>46</v>
      </c>
      <c r="F16" s="30" t="s">
        <v>70</v>
      </c>
      <c r="G16" s="43" t="n">
        <v>0.75</v>
      </c>
      <c r="H16" s="44" t="n">
        <f aca="false">G16*6.25</f>
        <v>4.6875</v>
      </c>
      <c r="I16" s="44" t="n">
        <f aca="false">SUMIF('Suivi temps'!$C:$C,B16,'Suivi temps'!$E:$E)</f>
        <v>6.25</v>
      </c>
      <c r="J16" s="44" t="n">
        <f aca="false">IF(I16=0,0,I16-H16)</f>
        <v>1.5625</v>
      </c>
      <c r="K16" s="32" t="n">
        <f aca="false">IFERROR(J16/H16,0)</f>
        <v>0.333333333333333</v>
      </c>
      <c r="L16" s="30" t="s">
        <v>71</v>
      </c>
      <c r="M16" s="12"/>
    </row>
    <row r="17" s="51" customFormat="true" ht="48" hidden="false" customHeight="true" outlineLevel="0" collapsed="false">
      <c r="A17" s="45" t="s">
        <v>95</v>
      </c>
      <c r="B17" s="45" t="s">
        <v>100</v>
      </c>
      <c r="C17" s="45" t="s">
        <v>101</v>
      </c>
      <c r="D17" s="45" t="s">
        <v>69</v>
      </c>
      <c r="E17" s="46" t="s">
        <v>49</v>
      </c>
      <c r="F17" s="46" t="s">
        <v>70</v>
      </c>
      <c r="G17" s="47" t="n">
        <v>1.25</v>
      </c>
      <c r="H17" s="48" t="n">
        <f aca="false">G17*6.25</f>
        <v>7.8125</v>
      </c>
      <c r="I17" s="48" t="n">
        <f aca="false">SUMIF('Suivi temps'!$C:$C,B17,'Suivi temps'!$E:$E)</f>
        <v>12.5</v>
      </c>
      <c r="J17" s="48" t="n">
        <f aca="false">IF(I17=0,0,I17-H17)</f>
        <v>4.6875</v>
      </c>
      <c r="K17" s="49" t="n">
        <f aca="false">IFERROR(J17/H17,0)</f>
        <v>0.6</v>
      </c>
      <c r="L17" s="46" t="s">
        <v>71</v>
      </c>
      <c r="M17" s="50" t="s">
        <v>102</v>
      </c>
    </row>
    <row r="18" customFormat="false" ht="15" hidden="false" customHeight="true" outlineLevel="0" collapsed="false">
      <c r="A18" s="12" t="s">
        <v>95</v>
      </c>
      <c r="B18" s="12" t="s">
        <v>103</v>
      </c>
      <c r="C18" s="12" t="s">
        <v>104</v>
      </c>
      <c r="D18" s="42" t="s">
        <v>69</v>
      </c>
      <c r="E18" s="30" t="s">
        <v>49</v>
      </c>
      <c r="F18" s="30" t="s">
        <v>70</v>
      </c>
      <c r="G18" s="43" t="n">
        <v>0.5</v>
      </c>
      <c r="H18" s="44" t="n">
        <f aca="false">G18*6.25</f>
        <v>3.125</v>
      </c>
      <c r="I18" s="44" t="n">
        <f aca="false">SUMIF('Suivi temps'!$C:$C,B18,'Suivi temps'!$E:$E)</f>
        <v>2.1</v>
      </c>
      <c r="J18" s="44" t="n">
        <f aca="false">IF(I18=0,0,I18-H18)</f>
        <v>-1.025</v>
      </c>
      <c r="K18" s="32" t="n">
        <f aca="false">IFERROR(J18/H18,0)</f>
        <v>-0.328</v>
      </c>
      <c r="L18" s="30" t="s">
        <v>71</v>
      </c>
      <c r="M18" s="12"/>
    </row>
    <row r="19" s="59" customFormat="true" ht="31.5" hidden="false" customHeight="true" outlineLevel="0" collapsed="false">
      <c r="A19" s="52" t="s">
        <v>95</v>
      </c>
      <c r="B19" s="52" t="s">
        <v>105</v>
      </c>
      <c r="C19" s="52" t="s">
        <v>106</v>
      </c>
      <c r="D19" s="52" t="s">
        <v>69</v>
      </c>
      <c r="E19" s="53" t="s">
        <v>49</v>
      </c>
      <c r="F19" s="53" t="s">
        <v>70</v>
      </c>
      <c r="G19" s="54" t="n">
        <v>0.5</v>
      </c>
      <c r="H19" s="55" t="n">
        <f aca="false">G19*6.25</f>
        <v>3.125</v>
      </c>
      <c r="I19" s="55" t="n">
        <f aca="false">SUMIF('Suivi temps'!$C:$C,B19,'Suivi temps'!$E:$E)</f>
        <v>6.25</v>
      </c>
      <c r="J19" s="55" t="n">
        <f aca="false">IF(I19=0,0,I19-H19)</f>
        <v>3.125</v>
      </c>
      <c r="K19" s="56" t="n">
        <f aca="false">IFERROR(J19/H19,0)</f>
        <v>1</v>
      </c>
      <c r="L19" s="57" t="s">
        <v>71</v>
      </c>
      <c r="M19" s="58" t="s">
        <v>107</v>
      </c>
    </row>
    <row r="20" customFormat="false" ht="15" hidden="false" customHeight="true" outlineLevel="0" collapsed="false">
      <c r="A20" s="12" t="s">
        <v>108</v>
      </c>
      <c r="B20" s="12" t="s">
        <v>109</v>
      </c>
      <c r="C20" s="12" t="s">
        <v>110</v>
      </c>
      <c r="D20" s="42" t="s">
        <v>69</v>
      </c>
      <c r="E20" s="30" t="s">
        <v>46</v>
      </c>
      <c r="F20" s="30" t="s">
        <v>70</v>
      </c>
      <c r="G20" s="43" t="n">
        <v>1.5</v>
      </c>
      <c r="H20" s="44" t="n">
        <f aca="false">G20*6.25</f>
        <v>9.375</v>
      </c>
      <c r="I20" s="44" t="n">
        <f aca="false">SUMIF('Suivi temps'!$C:$C,B20,'Suivi temps'!$E:$E)</f>
        <v>6.25</v>
      </c>
      <c r="J20" s="44" t="n">
        <f aca="false">IF(I20=0,0,I20-H20)</f>
        <v>-3.125</v>
      </c>
      <c r="K20" s="32" t="n">
        <f aca="false">IFERROR(J20/H20,0)</f>
        <v>-0.333333333333333</v>
      </c>
      <c r="L20" s="30" t="s">
        <v>71</v>
      </c>
      <c r="M20" s="12"/>
    </row>
    <row r="21" customFormat="false" ht="15" hidden="false" customHeight="true" outlineLevel="0" collapsed="false">
      <c r="A21" s="12" t="s">
        <v>108</v>
      </c>
      <c r="B21" s="12" t="s">
        <v>111</v>
      </c>
      <c r="C21" s="12" t="s">
        <v>112</v>
      </c>
      <c r="D21" s="42" t="s">
        <v>69</v>
      </c>
      <c r="E21" s="30" t="s">
        <v>45</v>
      </c>
      <c r="F21" s="30" t="s">
        <v>70</v>
      </c>
      <c r="G21" s="43" t="n">
        <v>1.5</v>
      </c>
      <c r="H21" s="44" t="n">
        <f aca="false">G21*6.25</f>
        <v>9.375</v>
      </c>
      <c r="I21" s="44" t="n">
        <f aca="false">SUMIF('Suivi temps'!$C:$C,B21,'Suivi temps'!$E:$E)</f>
        <v>6.25</v>
      </c>
      <c r="J21" s="44" t="n">
        <f aca="false">IF(I21=0,0,I21-H21)</f>
        <v>-3.125</v>
      </c>
      <c r="K21" s="32" t="n">
        <f aca="false">IFERROR(J21/H21,0)</f>
        <v>-0.333333333333333</v>
      </c>
      <c r="L21" s="30" t="s">
        <v>71</v>
      </c>
      <c r="M21" s="12"/>
    </row>
    <row r="22" customFormat="false" ht="15" hidden="false" customHeight="true" outlineLevel="0" collapsed="false">
      <c r="A22" s="12" t="s">
        <v>108</v>
      </c>
      <c r="B22" s="12" t="s">
        <v>113</v>
      </c>
      <c r="C22" s="12" t="s">
        <v>114</v>
      </c>
      <c r="D22" s="42" t="s">
        <v>69</v>
      </c>
      <c r="E22" s="30" t="s">
        <v>49</v>
      </c>
      <c r="F22" s="30" t="s">
        <v>70</v>
      </c>
      <c r="G22" s="43" t="n">
        <v>1.75</v>
      </c>
      <c r="H22" s="44" t="n">
        <f aca="false">G22*6.25</f>
        <v>10.9375</v>
      </c>
      <c r="I22" s="44" t="n">
        <f aca="false">SUMIF('Suivi temps'!$C:$C,B22,'Suivi temps'!$E:$E)</f>
        <v>6.25</v>
      </c>
      <c r="J22" s="44" t="n">
        <f aca="false">IF(I22=0,0,I22-H22)</f>
        <v>-4.6875</v>
      </c>
      <c r="K22" s="32" t="n">
        <f aca="false">IFERROR(J22/H22,0)</f>
        <v>-0.428571428571429</v>
      </c>
      <c r="L22" s="30" t="s">
        <v>71</v>
      </c>
      <c r="M22" s="60"/>
    </row>
    <row r="23" customFormat="false" ht="15" hidden="false" customHeight="true" outlineLevel="0" collapsed="false">
      <c r="A23" s="12" t="s">
        <v>108</v>
      </c>
      <c r="B23" s="12" t="s">
        <v>115</v>
      </c>
      <c r="C23" s="12" t="s">
        <v>116</v>
      </c>
      <c r="D23" s="42" t="s">
        <v>69</v>
      </c>
      <c r="E23" s="30" t="s">
        <v>46</v>
      </c>
      <c r="F23" s="30" t="s">
        <v>70</v>
      </c>
      <c r="G23" s="43" t="n">
        <v>1.25</v>
      </c>
      <c r="H23" s="44" t="n">
        <f aca="false">G23*6.25</f>
        <v>7.8125</v>
      </c>
      <c r="I23" s="44" t="n">
        <f aca="false">SUMIF('Suivi temps'!$C:$C,B23,'Suivi temps'!$E:$E)</f>
        <v>3.15</v>
      </c>
      <c r="J23" s="44" t="n">
        <f aca="false">IF(I23=0,0,I23-H23)</f>
        <v>-4.6625</v>
      </c>
      <c r="K23" s="32" t="n">
        <f aca="false">IFERROR(J23/H23,0)</f>
        <v>-0.5968</v>
      </c>
      <c r="L23" s="30" t="s">
        <v>71</v>
      </c>
      <c r="M23" s="12"/>
    </row>
    <row r="24" customFormat="false" ht="15" hidden="false" customHeight="true" outlineLevel="0" collapsed="false">
      <c r="A24" s="12" t="s">
        <v>108</v>
      </c>
      <c r="B24" s="12" t="s">
        <v>117</v>
      </c>
      <c r="C24" s="12" t="s">
        <v>118</v>
      </c>
      <c r="D24" s="42" t="s">
        <v>69</v>
      </c>
      <c r="E24" s="30" t="s">
        <v>46</v>
      </c>
      <c r="F24" s="30" t="s">
        <v>70</v>
      </c>
      <c r="G24" s="43" t="n">
        <v>0.75</v>
      </c>
      <c r="H24" s="44" t="n">
        <f aca="false">G24*6.25</f>
        <v>4.6875</v>
      </c>
      <c r="I24" s="44" t="n">
        <f aca="false">SUMIF('Suivi temps'!$C:$C,B24,'Suivi temps'!$E:$E)</f>
        <v>3.1</v>
      </c>
      <c r="J24" s="44" t="n">
        <f aca="false">IF(I24=0,0,I24-H24)</f>
        <v>-1.5875</v>
      </c>
      <c r="K24" s="32" t="n">
        <f aca="false">IFERROR(J24/H24,0)</f>
        <v>-0.338666666666667</v>
      </c>
      <c r="L24" s="30" t="s">
        <v>71</v>
      </c>
      <c r="M24" s="12"/>
    </row>
    <row r="25" customFormat="false" ht="15" hidden="false" customHeight="true" outlineLevel="0" collapsed="false">
      <c r="A25" s="12" t="s">
        <v>119</v>
      </c>
      <c r="B25" s="12" t="s">
        <v>120</v>
      </c>
      <c r="C25" s="12" t="s">
        <v>121</v>
      </c>
      <c r="D25" s="42" t="s">
        <v>69</v>
      </c>
      <c r="E25" s="30" t="s">
        <v>49</v>
      </c>
      <c r="F25" s="30" t="s">
        <v>70</v>
      </c>
      <c r="G25" s="43" t="n">
        <v>1.25</v>
      </c>
      <c r="H25" s="44" t="n">
        <f aca="false">G25*6.25</f>
        <v>7.8125</v>
      </c>
      <c r="I25" s="44" t="n">
        <f aca="false">SUMIF('Suivi temps'!$C:$C,B25,'Suivi temps'!$E:$E)</f>
        <v>6.25</v>
      </c>
      <c r="J25" s="44" t="n">
        <f aca="false">IF(I25=0,0,I25-H25)</f>
        <v>-1.5625</v>
      </c>
      <c r="K25" s="32" t="n">
        <f aca="false">IFERROR(J25/H25,0)</f>
        <v>-0.2</v>
      </c>
      <c r="L25" s="30" t="s">
        <v>71</v>
      </c>
      <c r="M25" s="12"/>
    </row>
    <row r="26" customFormat="false" ht="15" hidden="false" customHeight="true" outlineLevel="0" collapsed="false">
      <c r="A26" s="12" t="s">
        <v>119</v>
      </c>
      <c r="B26" s="12" t="s">
        <v>122</v>
      </c>
      <c r="C26" s="12" t="s">
        <v>123</v>
      </c>
      <c r="D26" s="42" t="s">
        <v>69</v>
      </c>
      <c r="E26" s="30" t="s">
        <v>49</v>
      </c>
      <c r="F26" s="30" t="s">
        <v>70</v>
      </c>
      <c r="G26" s="43" t="n">
        <v>1.5</v>
      </c>
      <c r="H26" s="44" t="n">
        <f aca="false">G26*6.25</f>
        <v>9.375</v>
      </c>
      <c r="I26" s="44" t="n">
        <f aca="false">SUMIF('Suivi temps'!$C:$C,B26,'Suivi temps'!$E:$E)</f>
        <v>4.15</v>
      </c>
      <c r="J26" s="44" t="n">
        <f aca="false">IF(I26=0,0,I26-H26)</f>
        <v>-5.225</v>
      </c>
      <c r="K26" s="32" t="n">
        <f aca="false">IFERROR(J26/H26,0)</f>
        <v>-0.557333333333333</v>
      </c>
      <c r="L26" s="30" t="s">
        <v>71</v>
      </c>
      <c r="M26" s="12"/>
    </row>
    <row r="27" customFormat="false" ht="15" hidden="false" customHeight="true" outlineLevel="0" collapsed="false">
      <c r="A27" s="12" t="s">
        <v>119</v>
      </c>
      <c r="B27" s="12" t="s">
        <v>124</v>
      </c>
      <c r="C27" s="12" t="s">
        <v>125</v>
      </c>
      <c r="D27" s="42" t="s">
        <v>69</v>
      </c>
      <c r="E27" s="30" t="s">
        <v>49</v>
      </c>
      <c r="F27" s="30" t="s">
        <v>70</v>
      </c>
      <c r="G27" s="43" t="n">
        <v>0.75</v>
      </c>
      <c r="H27" s="44" t="n">
        <f aca="false">G27*6.25</f>
        <v>4.6875</v>
      </c>
      <c r="I27" s="44" t="n">
        <f aca="false">SUMIF('Suivi temps'!$C:$C,B27,'Suivi temps'!$E:$E)</f>
        <v>3.15</v>
      </c>
      <c r="J27" s="44" t="n">
        <f aca="false">IF(I27=0,0,I27-H27)</f>
        <v>-1.5375</v>
      </c>
      <c r="K27" s="32" t="n">
        <f aca="false">IFERROR(J27/H27,0)</f>
        <v>-0.328</v>
      </c>
      <c r="L27" s="30" t="s">
        <v>71</v>
      </c>
      <c r="M27" s="12"/>
    </row>
    <row r="28" customFormat="false" ht="15" hidden="false" customHeight="true" outlineLevel="0" collapsed="false">
      <c r="A28" s="12" t="s">
        <v>119</v>
      </c>
      <c r="B28" s="12" t="s">
        <v>126</v>
      </c>
      <c r="C28" s="12" t="s">
        <v>127</v>
      </c>
      <c r="D28" s="42" t="s">
        <v>69</v>
      </c>
      <c r="E28" s="30" t="s">
        <v>49</v>
      </c>
      <c r="F28" s="30" t="s">
        <v>70</v>
      </c>
      <c r="G28" s="43" t="n">
        <v>0.5</v>
      </c>
      <c r="H28" s="44" t="n">
        <f aca="false">G28*6.25</f>
        <v>3.125</v>
      </c>
      <c r="I28" s="44" t="n">
        <f aca="false">SUMIF('Suivi temps'!$C:$C,B28,'Suivi temps'!$E:$E)</f>
        <v>3.1</v>
      </c>
      <c r="J28" s="44" t="n">
        <f aca="false">IF(I28=0,0,I28-H28)</f>
        <v>-0.0249999999999999</v>
      </c>
      <c r="K28" s="32" t="n">
        <f aca="false">IFERROR(J28/H28,0)</f>
        <v>-0.00799999999999997</v>
      </c>
      <c r="L28" s="30" t="s">
        <v>71</v>
      </c>
      <c r="M28" s="12"/>
    </row>
    <row r="29" customFormat="false" ht="15" hidden="false" customHeight="true" outlineLevel="0" collapsed="false">
      <c r="A29" s="12" t="s">
        <v>128</v>
      </c>
      <c r="B29" s="12" t="s">
        <v>129</v>
      </c>
      <c r="C29" s="12" t="s">
        <v>130</v>
      </c>
      <c r="D29" s="42" t="s">
        <v>69</v>
      </c>
      <c r="E29" s="30" t="s">
        <v>48</v>
      </c>
      <c r="F29" s="30" t="s">
        <v>70</v>
      </c>
      <c r="G29" s="43" t="n">
        <v>1.25</v>
      </c>
      <c r="H29" s="44" t="n">
        <f aca="false">G29*6.25</f>
        <v>7.8125</v>
      </c>
      <c r="I29" s="44" t="n">
        <f aca="false">SUMIF('Suivi temps'!$C:$C,B29,'Suivi temps'!$E:$E)</f>
        <v>6.25</v>
      </c>
      <c r="J29" s="44" t="n">
        <f aca="false">IF(I29=0,0,I29-H29)</f>
        <v>-1.5625</v>
      </c>
      <c r="K29" s="32" t="n">
        <f aca="false">IFERROR(J29/H29,0)</f>
        <v>-0.2</v>
      </c>
      <c r="L29" s="30" t="s">
        <v>71</v>
      </c>
      <c r="M29" s="12"/>
    </row>
    <row r="30" customFormat="false" ht="15" hidden="false" customHeight="true" outlineLevel="0" collapsed="false">
      <c r="A30" s="12" t="s">
        <v>128</v>
      </c>
      <c r="B30" s="12" t="s">
        <v>131</v>
      </c>
      <c r="C30" s="12" t="s">
        <v>132</v>
      </c>
      <c r="D30" s="42" t="s">
        <v>69</v>
      </c>
      <c r="E30" s="30" t="s">
        <v>48</v>
      </c>
      <c r="F30" s="30" t="s">
        <v>70</v>
      </c>
      <c r="G30" s="43" t="n">
        <v>1.25</v>
      </c>
      <c r="H30" s="44" t="n">
        <f aca="false">G30*6.25</f>
        <v>7.8125</v>
      </c>
      <c r="I30" s="44" t="n">
        <f aca="false">SUMIF('Suivi temps'!$C:$C,B30,'Suivi temps'!$E:$E)</f>
        <v>6.25</v>
      </c>
      <c r="J30" s="44" t="n">
        <f aca="false">IF(I30=0,0,I30-H30)</f>
        <v>-1.5625</v>
      </c>
      <c r="K30" s="32" t="n">
        <f aca="false">IFERROR(J30/H30,0)</f>
        <v>-0.2</v>
      </c>
      <c r="L30" s="30" t="s">
        <v>71</v>
      </c>
      <c r="M30" s="12"/>
    </row>
    <row r="31" customFormat="false" ht="15" hidden="false" customHeight="true" outlineLevel="0" collapsed="false">
      <c r="A31" s="12" t="s">
        <v>128</v>
      </c>
      <c r="B31" s="12" t="s">
        <v>133</v>
      </c>
      <c r="C31" s="12" t="s">
        <v>134</v>
      </c>
      <c r="D31" s="42" t="s">
        <v>69</v>
      </c>
      <c r="E31" s="30" t="s">
        <v>48</v>
      </c>
      <c r="F31" s="30" t="s">
        <v>70</v>
      </c>
      <c r="G31" s="43" t="n">
        <v>1</v>
      </c>
      <c r="H31" s="44" t="n">
        <f aca="false">G31*6.25</f>
        <v>6.25</v>
      </c>
      <c r="I31" s="44" t="n">
        <f aca="false">SUMIF('Suivi temps'!$C:$C,B31,'Suivi temps'!$E:$E)</f>
        <v>6.25</v>
      </c>
      <c r="J31" s="44" t="n">
        <f aca="false">IF(I31=0,0,I31-H31)</f>
        <v>0</v>
      </c>
      <c r="K31" s="32" t="n">
        <f aca="false">IFERROR(J31/H31,0)</f>
        <v>0</v>
      </c>
      <c r="L31" s="30" t="s">
        <v>71</v>
      </c>
      <c r="M31" s="12"/>
    </row>
    <row r="32" s="59" customFormat="true" ht="27.75" hidden="false" customHeight="true" outlineLevel="0" collapsed="false">
      <c r="A32" s="52" t="s">
        <v>128</v>
      </c>
      <c r="B32" s="52" t="s">
        <v>135</v>
      </c>
      <c r="C32" s="52" t="s">
        <v>136</v>
      </c>
      <c r="D32" s="52" t="s">
        <v>80</v>
      </c>
      <c r="E32" s="53" t="s">
        <v>48</v>
      </c>
      <c r="F32" s="53" t="s">
        <v>70</v>
      </c>
      <c r="G32" s="54" t="n">
        <v>0.5</v>
      </c>
      <c r="H32" s="55" t="n">
        <f aca="false">G32*6.25</f>
        <v>3.125</v>
      </c>
      <c r="I32" s="55" t="n">
        <f aca="false">SUMIF('Suivi temps'!$C:$C,B32,'Suivi temps'!$E:$E)</f>
        <v>6.25</v>
      </c>
      <c r="J32" s="55" t="n">
        <f aca="false">IF(I32=0,0,I32-H32)</f>
        <v>3.125</v>
      </c>
      <c r="K32" s="56" t="n">
        <f aca="false">IFERROR(J32/H32,0)</f>
        <v>1</v>
      </c>
      <c r="L32" s="53" t="s">
        <v>71</v>
      </c>
      <c r="M32" s="61" t="s">
        <v>137</v>
      </c>
    </row>
    <row r="33" customFormat="false" ht="15" hidden="false" customHeight="true" outlineLevel="0" collapsed="false">
      <c r="A33" s="12" t="s">
        <v>138</v>
      </c>
      <c r="B33" s="12" t="s">
        <v>139</v>
      </c>
      <c r="C33" s="12" t="s">
        <v>140</v>
      </c>
      <c r="D33" s="42" t="s">
        <v>69</v>
      </c>
      <c r="E33" s="30" t="s">
        <v>48</v>
      </c>
      <c r="F33" s="30" t="s">
        <v>70</v>
      </c>
      <c r="G33" s="43" t="n">
        <v>1.5</v>
      </c>
      <c r="H33" s="44" t="n">
        <f aca="false">G33*6.25</f>
        <v>9.375</v>
      </c>
      <c r="I33" s="44" t="n">
        <f aca="false">SUMIF('Suivi temps'!$C:$C,B33,'Suivi temps'!$E:$E)</f>
        <v>3.15</v>
      </c>
      <c r="J33" s="44" t="n">
        <f aca="false">IF(I33=0,0,I33-H33)</f>
        <v>-6.225</v>
      </c>
      <c r="K33" s="32" t="n">
        <f aca="false">IFERROR(J33/H33,0)</f>
        <v>-0.664</v>
      </c>
      <c r="L33" s="30" t="s">
        <v>71</v>
      </c>
      <c r="M33" s="12"/>
    </row>
    <row r="34" customFormat="false" ht="15" hidden="false" customHeight="true" outlineLevel="0" collapsed="false">
      <c r="A34" s="12" t="s">
        <v>138</v>
      </c>
      <c r="B34" s="12" t="s">
        <v>141</v>
      </c>
      <c r="C34" s="12" t="s">
        <v>142</v>
      </c>
      <c r="D34" s="42" t="s">
        <v>69</v>
      </c>
      <c r="E34" s="30" t="s">
        <v>48</v>
      </c>
      <c r="F34" s="30" t="s">
        <v>70</v>
      </c>
      <c r="G34" s="43" t="n">
        <v>1.25</v>
      </c>
      <c r="H34" s="44" t="n">
        <f aca="false">G34*6.25</f>
        <v>7.8125</v>
      </c>
      <c r="I34" s="44" t="n">
        <f aca="false">SUMIF('Suivi temps'!$C:$C,B34,'Suivi temps'!$E:$E)</f>
        <v>3.1</v>
      </c>
      <c r="J34" s="44" t="n">
        <f aca="false">IF(I34=0,0,I34-H34)</f>
        <v>-4.7125</v>
      </c>
      <c r="K34" s="32" t="n">
        <f aca="false">IFERROR(J34/H34,0)</f>
        <v>-0.6032</v>
      </c>
      <c r="L34" s="30" t="s">
        <v>71</v>
      </c>
      <c r="M34" s="12"/>
    </row>
    <row r="35" customFormat="false" ht="15" hidden="false" customHeight="true" outlineLevel="0" collapsed="false">
      <c r="A35" s="12" t="s">
        <v>138</v>
      </c>
      <c r="B35" s="12" t="s">
        <v>143</v>
      </c>
      <c r="C35" s="12" t="s">
        <v>144</v>
      </c>
      <c r="D35" s="42" t="s">
        <v>69</v>
      </c>
      <c r="E35" s="30" t="s">
        <v>48</v>
      </c>
      <c r="F35" s="30" t="s">
        <v>70</v>
      </c>
      <c r="G35" s="43" t="n">
        <v>0.75</v>
      </c>
      <c r="H35" s="44" t="n">
        <f aca="false">G35*6.25</f>
        <v>4.6875</v>
      </c>
      <c r="I35" s="44" t="n">
        <f aca="false">SUMIF('Suivi temps'!$C:$C,B35,'Suivi temps'!$E:$E)</f>
        <v>3.15</v>
      </c>
      <c r="J35" s="44" t="n">
        <f aca="false">IF(I35=0,0,I35-H35)</f>
        <v>-1.5375</v>
      </c>
      <c r="K35" s="32" t="n">
        <f aca="false">IFERROR(J35/H35,0)</f>
        <v>-0.328</v>
      </c>
      <c r="L35" s="30" t="s">
        <v>71</v>
      </c>
      <c r="M35" s="12"/>
    </row>
    <row r="36" customFormat="false" ht="15" hidden="false" customHeight="true" outlineLevel="0" collapsed="false">
      <c r="A36" s="12" t="s">
        <v>145</v>
      </c>
      <c r="B36" s="12" t="s">
        <v>146</v>
      </c>
      <c r="C36" s="12" t="s">
        <v>147</v>
      </c>
      <c r="D36" s="42" t="s">
        <v>69</v>
      </c>
      <c r="E36" s="30" t="s">
        <v>45</v>
      </c>
      <c r="F36" s="30" t="s">
        <v>70</v>
      </c>
      <c r="G36" s="43" t="n">
        <v>1</v>
      </c>
      <c r="H36" s="44" t="n">
        <f aca="false">G36*6.25</f>
        <v>6.25</v>
      </c>
      <c r="I36" s="44" t="n">
        <f aca="false">SUMIF('Suivi temps'!$C:$C,B36,'Suivi temps'!$E:$E)</f>
        <v>6.25</v>
      </c>
      <c r="J36" s="44" t="n">
        <f aca="false">IF(I36=0,0,I36-H36)</f>
        <v>0</v>
      </c>
      <c r="K36" s="32" t="n">
        <f aca="false">IFERROR(J36/H36,0)</f>
        <v>0</v>
      </c>
      <c r="L36" s="30" t="s">
        <v>71</v>
      </c>
      <c r="M36" s="12"/>
    </row>
    <row r="37" customFormat="false" ht="15" hidden="false" customHeight="true" outlineLevel="0" collapsed="false">
      <c r="A37" s="12" t="s">
        <v>145</v>
      </c>
      <c r="B37" s="12" t="s">
        <v>148</v>
      </c>
      <c r="C37" s="12" t="s">
        <v>149</v>
      </c>
      <c r="D37" s="42" t="s">
        <v>69</v>
      </c>
      <c r="E37" s="30" t="s">
        <v>45</v>
      </c>
      <c r="F37" s="30" t="s">
        <v>70</v>
      </c>
      <c r="G37" s="43" t="n">
        <v>1.25</v>
      </c>
      <c r="H37" s="44" t="n">
        <f aca="false">G37*6.25</f>
        <v>7.8125</v>
      </c>
      <c r="I37" s="44" t="n">
        <f aca="false">SUMIF('Suivi temps'!$C:$C,B37,'Suivi temps'!$E:$E)</f>
        <v>12.5</v>
      </c>
      <c r="J37" s="44" t="n">
        <f aca="false">IF(I37=0,0,I37-H37)</f>
        <v>4.6875</v>
      </c>
      <c r="K37" s="32" t="n">
        <f aca="false">IFERROR(J37/H37,0)</f>
        <v>0.6</v>
      </c>
      <c r="L37" s="30" t="s">
        <v>71</v>
      </c>
      <c r="M37" s="12"/>
    </row>
    <row r="38" customFormat="false" ht="15" hidden="false" customHeight="true" outlineLevel="0" collapsed="false">
      <c r="A38" s="12" t="s">
        <v>145</v>
      </c>
      <c r="B38" s="12" t="s">
        <v>150</v>
      </c>
      <c r="C38" s="12" t="s">
        <v>151</v>
      </c>
      <c r="D38" s="42" t="s">
        <v>69</v>
      </c>
      <c r="E38" s="30" t="s">
        <v>45</v>
      </c>
      <c r="F38" s="30" t="s">
        <v>70</v>
      </c>
      <c r="G38" s="43" t="n">
        <v>1</v>
      </c>
      <c r="H38" s="44" t="n">
        <f aca="false">G38*6.25</f>
        <v>6.25</v>
      </c>
      <c r="I38" s="44" t="n">
        <f aca="false">SUMIF('Suivi temps'!$C:$C,B38,'Suivi temps'!$E:$E)</f>
        <v>6.25</v>
      </c>
      <c r="J38" s="44" t="n">
        <f aca="false">IF(I38=0,0,I38-H38)</f>
        <v>0</v>
      </c>
      <c r="K38" s="32" t="n">
        <f aca="false">IFERROR(J38/H38,0)</f>
        <v>0</v>
      </c>
      <c r="L38" s="30" t="s">
        <v>71</v>
      </c>
      <c r="M38" s="12"/>
    </row>
    <row r="39" customFormat="false" ht="15" hidden="false" customHeight="true" outlineLevel="0" collapsed="false">
      <c r="A39" s="12" t="s">
        <v>145</v>
      </c>
      <c r="B39" s="12" t="s">
        <v>152</v>
      </c>
      <c r="C39" s="12" t="s">
        <v>153</v>
      </c>
      <c r="D39" s="42" t="s">
        <v>69</v>
      </c>
      <c r="E39" s="30" t="s">
        <v>48</v>
      </c>
      <c r="F39" s="30" t="s">
        <v>70</v>
      </c>
      <c r="G39" s="43" t="n">
        <v>1</v>
      </c>
      <c r="H39" s="44" t="n">
        <f aca="false">G39*6.25</f>
        <v>6.25</v>
      </c>
      <c r="I39" s="44" t="n">
        <f aca="false">SUMIF('Suivi temps'!$C:$C,B39,'Suivi temps'!$E:$E)</f>
        <v>3.1</v>
      </c>
      <c r="J39" s="44" t="n">
        <f aca="false">IF(I39=0,0,I39-H39)</f>
        <v>-3.15</v>
      </c>
      <c r="K39" s="32" t="n">
        <f aca="false">IFERROR(J39/H39,0)</f>
        <v>-0.504</v>
      </c>
      <c r="L39" s="30" t="s">
        <v>71</v>
      </c>
      <c r="M39" s="12"/>
    </row>
    <row r="40" customFormat="false" ht="15" hidden="false" customHeight="true" outlineLevel="0" collapsed="false">
      <c r="A40" s="12" t="s">
        <v>145</v>
      </c>
      <c r="B40" s="12" t="s">
        <v>154</v>
      </c>
      <c r="C40" s="12" t="s">
        <v>155</v>
      </c>
      <c r="D40" s="42" t="s">
        <v>69</v>
      </c>
      <c r="E40" s="30" t="s">
        <v>46</v>
      </c>
      <c r="F40" s="30" t="s">
        <v>70</v>
      </c>
      <c r="G40" s="43" t="n">
        <v>1</v>
      </c>
      <c r="H40" s="44" t="n">
        <f aca="false">G40*6.25</f>
        <v>6.25</v>
      </c>
      <c r="I40" s="44" t="n">
        <f aca="false">SUMIF('Suivi temps'!$C:$C,B40,'Suivi temps'!$E:$E)</f>
        <v>3.1</v>
      </c>
      <c r="J40" s="44" t="n">
        <f aca="false">IF(I40=0,0,I40-H40)</f>
        <v>-3.15</v>
      </c>
      <c r="K40" s="32" t="n">
        <f aca="false">IFERROR(J40/H40,0)</f>
        <v>-0.504</v>
      </c>
      <c r="L40" s="30" t="s">
        <v>71</v>
      </c>
      <c r="M40" s="12"/>
    </row>
    <row r="41" customFormat="false" ht="15" hidden="false" customHeight="true" outlineLevel="0" collapsed="false">
      <c r="A41" s="12" t="s">
        <v>156</v>
      </c>
      <c r="B41" s="12" t="s">
        <v>157</v>
      </c>
      <c r="C41" s="12" t="s">
        <v>158</v>
      </c>
      <c r="D41" s="42" t="s">
        <v>69</v>
      </c>
      <c r="E41" s="30" t="s">
        <v>49</v>
      </c>
      <c r="F41" s="30" t="s">
        <v>70</v>
      </c>
      <c r="G41" s="43" t="n">
        <v>1.75</v>
      </c>
      <c r="H41" s="44" t="n">
        <f aca="false">G41*6.25</f>
        <v>10.9375</v>
      </c>
      <c r="I41" s="44" t="n">
        <f aca="false">SUMIF('Suivi temps'!$C:$C,B41,'Suivi temps'!$E:$E)</f>
        <v>15.65</v>
      </c>
      <c r="J41" s="44" t="n">
        <f aca="false">IF(I41=0,0,I41-H41)</f>
        <v>4.7125</v>
      </c>
      <c r="K41" s="32" t="n">
        <f aca="false">IFERROR(J41/H41,0)</f>
        <v>0.430857142857143</v>
      </c>
      <c r="L41" s="30" t="s">
        <v>71</v>
      </c>
      <c r="M41" s="12"/>
    </row>
    <row r="42" customFormat="false" ht="15" hidden="false" customHeight="true" outlineLevel="0" collapsed="false">
      <c r="A42" s="12" t="s">
        <v>156</v>
      </c>
      <c r="B42" s="12" t="s">
        <v>159</v>
      </c>
      <c r="C42" s="12" t="s">
        <v>160</v>
      </c>
      <c r="D42" s="42" t="s">
        <v>69</v>
      </c>
      <c r="E42" s="30" t="s">
        <v>47</v>
      </c>
      <c r="F42" s="30" t="s">
        <v>70</v>
      </c>
      <c r="G42" s="43" t="n">
        <v>1.75</v>
      </c>
      <c r="H42" s="44" t="n">
        <f aca="false">G42*6.25</f>
        <v>10.9375</v>
      </c>
      <c r="I42" s="44" t="n">
        <f aca="false">SUMIF('Suivi temps'!$C:$C,B42,'Suivi temps'!$E:$E)</f>
        <v>9.4</v>
      </c>
      <c r="J42" s="44" t="n">
        <f aca="false">IF(I42=0,0,I42-H42)</f>
        <v>-1.5375</v>
      </c>
      <c r="K42" s="32" t="n">
        <f aca="false">IFERROR(J42/H42,0)</f>
        <v>-0.140571428571429</v>
      </c>
      <c r="L42" s="30" t="s">
        <v>71</v>
      </c>
      <c r="M42" s="12"/>
    </row>
    <row r="43" customFormat="false" ht="15" hidden="false" customHeight="true" outlineLevel="0" collapsed="false">
      <c r="A43" s="12" t="s">
        <v>156</v>
      </c>
      <c r="B43" s="12" t="s">
        <v>161</v>
      </c>
      <c r="C43" s="12" t="s">
        <v>162</v>
      </c>
      <c r="D43" s="42" t="s">
        <v>69</v>
      </c>
      <c r="E43" s="30" t="s">
        <v>47</v>
      </c>
      <c r="F43" s="30" t="s">
        <v>70</v>
      </c>
      <c r="G43" s="43" t="n">
        <v>0.5</v>
      </c>
      <c r="H43" s="44" t="n">
        <f aca="false">G43*6.25</f>
        <v>3.125</v>
      </c>
      <c r="I43" s="44" t="n">
        <f aca="false">SUMIF('Suivi temps'!$C:$C,B43,'Suivi temps'!$E:$E)</f>
        <v>2.1</v>
      </c>
      <c r="J43" s="44" t="n">
        <f aca="false">IF(I43=0,0,I43-H43)</f>
        <v>-1.025</v>
      </c>
      <c r="K43" s="32" t="n">
        <f aca="false">IFERROR(J43/H43,0)</f>
        <v>-0.328</v>
      </c>
      <c r="L43" s="30" t="s">
        <v>71</v>
      </c>
      <c r="M43" s="12"/>
    </row>
    <row r="44" customFormat="false" ht="15" hidden="false" customHeight="true" outlineLevel="0" collapsed="false">
      <c r="A44" s="12" t="s">
        <v>156</v>
      </c>
      <c r="B44" s="12" t="s">
        <v>163</v>
      </c>
      <c r="C44" s="12" t="s">
        <v>164</v>
      </c>
      <c r="D44" s="42" t="s">
        <v>80</v>
      </c>
      <c r="E44" s="30" t="s">
        <v>45</v>
      </c>
      <c r="F44" s="30" t="s">
        <v>70</v>
      </c>
      <c r="G44" s="43" t="n">
        <v>1</v>
      </c>
      <c r="H44" s="44" t="n">
        <f aca="false">G44*6.25</f>
        <v>6.25</v>
      </c>
      <c r="I44" s="44" t="n">
        <f aca="false">SUMIF('Suivi temps'!$C:$C,B44,'Suivi temps'!$E:$E)</f>
        <v>9.4</v>
      </c>
      <c r="J44" s="44" t="n">
        <f aca="false">IF(I44=0,0,I44-H44)</f>
        <v>3.15</v>
      </c>
      <c r="K44" s="32" t="n">
        <f aca="false">IFERROR(J44/H44,0)</f>
        <v>0.504</v>
      </c>
      <c r="L44" s="30" t="s">
        <v>71</v>
      </c>
      <c r="M44" s="12"/>
    </row>
    <row r="45" customFormat="false" ht="15" hidden="false" customHeight="true" outlineLevel="0" collapsed="false">
      <c r="A45" s="12" t="s">
        <v>165</v>
      </c>
      <c r="B45" s="12" t="s">
        <v>166</v>
      </c>
      <c r="C45" s="12" t="s">
        <v>167</v>
      </c>
      <c r="D45" s="42" t="s">
        <v>69</v>
      </c>
      <c r="E45" s="30" t="s">
        <v>47</v>
      </c>
      <c r="F45" s="30" t="s">
        <v>70</v>
      </c>
      <c r="G45" s="43" t="n">
        <v>0.75</v>
      </c>
      <c r="H45" s="44" t="n">
        <f aca="false">G45*6.25</f>
        <v>4.6875</v>
      </c>
      <c r="I45" s="44" t="n">
        <f aca="false">SUMIF('Suivi temps'!$C:$C,B45,'Suivi temps'!$E:$E)</f>
        <v>2.1</v>
      </c>
      <c r="J45" s="44" t="n">
        <f aca="false">IF(I45=0,0,I45-H45)</f>
        <v>-2.5875</v>
      </c>
      <c r="K45" s="32" t="n">
        <f aca="false">IFERROR(J45/H45,0)</f>
        <v>-0.552</v>
      </c>
      <c r="L45" s="30" t="s">
        <v>71</v>
      </c>
      <c r="M45" s="12"/>
    </row>
    <row r="46" customFormat="false" ht="15" hidden="false" customHeight="true" outlineLevel="0" collapsed="false">
      <c r="A46" s="12" t="s">
        <v>165</v>
      </c>
      <c r="B46" s="12" t="s">
        <v>168</v>
      </c>
      <c r="C46" s="12" t="s">
        <v>169</v>
      </c>
      <c r="D46" s="42" t="s">
        <v>69</v>
      </c>
      <c r="E46" s="30" t="s">
        <v>47</v>
      </c>
      <c r="F46" s="30" t="s">
        <v>70</v>
      </c>
      <c r="G46" s="43" t="n">
        <v>0.5</v>
      </c>
      <c r="H46" s="44" t="n">
        <f aca="false">G46*6.25</f>
        <v>3.125</v>
      </c>
      <c r="I46" s="44" t="n">
        <f aca="false">SUMIF('Suivi temps'!$C:$C,B46,'Suivi temps'!$E:$E)</f>
        <v>2.05</v>
      </c>
      <c r="J46" s="44" t="n">
        <f aca="false">IF(I46=0,0,I46-H46)</f>
        <v>-1.075</v>
      </c>
      <c r="K46" s="32" t="n">
        <f aca="false">IFERROR(J46/H46,0)</f>
        <v>-0.344</v>
      </c>
      <c r="L46" s="30" t="s">
        <v>84</v>
      </c>
      <c r="M46" s="12" t="s">
        <v>170</v>
      </c>
    </row>
    <row r="47" customFormat="false" ht="15" hidden="false" customHeight="true" outlineLevel="0" collapsed="false">
      <c r="A47" s="12" t="s">
        <v>165</v>
      </c>
      <c r="B47" s="12" t="s">
        <v>171</v>
      </c>
      <c r="C47" s="12" t="s">
        <v>172</v>
      </c>
      <c r="D47" s="42" t="s">
        <v>69</v>
      </c>
      <c r="E47" s="30" t="s">
        <v>46</v>
      </c>
      <c r="F47" s="30" t="s">
        <v>70</v>
      </c>
      <c r="G47" s="43" t="n">
        <v>1</v>
      </c>
      <c r="H47" s="44" t="n">
        <f aca="false">G47*6.25</f>
        <v>6.25</v>
      </c>
      <c r="I47" s="44" t="n">
        <f aca="false">SUMIF('Suivi temps'!$C:$C,B47,'Suivi temps'!$E:$E)</f>
        <v>9.4</v>
      </c>
      <c r="J47" s="44" t="n">
        <f aca="false">IF(I47=0,0,I47-H47)</f>
        <v>3.15</v>
      </c>
      <c r="K47" s="32" t="n">
        <f aca="false">IFERROR(J47/H47,0)</f>
        <v>0.504</v>
      </c>
      <c r="L47" s="30" t="s">
        <v>71</v>
      </c>
      <c r="M47" s="12"/>
    </row>
    <row r="48" customFormat="false" ht="15" hidden="false" customHeight="true" outlineLevel="0" collapsed="false">
      <c r="A48" s="12" t="s">
        <v>165</v>
      </c>
      <c r="B48" s="12" t="s">
        <v>173</v>
      </c>
      <c r="C48" s="12" t="s">
        <v>174</v>
      </c>
      <c r="D48" s="42" t="s">
        <v>80</v>
      </c>
      <c r="E48" s="30" t="s">
        <v>46</v>
      </c>
      <c r="F48" s="30" t="s">
        <v>70</v>
      </c>
      <c r="G48" s="43" t="n">
        <v>1.5</v>
      </c>
      <c r="H48" s="44" t="n">
        <f aca="false">G48*6.25</f>
        <v>9.375</v>
      </c>
      <c r="I48" s="44" t="n">
        <f aca="false">SUMIF('Suivi temps'!$C:$C,B48,'Suivi temps'!$E:$E)</f>
        <v>12.4</v>
      </c>
      <c r="J48" s="44" t="n">
        <f aca="false">IF(I48=0,0,I48-H48)</f>
        <v>3.025</v>
      </c>
      <c r="K48" s="32" t="n">
        <f aca="false">IFERROR(J48/H48,0)</f>
        <v>0.322666666666667</v>
      </c>
      <c r="L48" s="30" t="s">
        <v>84</v>
      </c>
      <c r="M48" s="12" t="s">
        <v>175</v>
      </c>
    </row>
    <row r="49" customFormat="false" ht="15" hidden="false" customHeight="true" outlineLevel="0" collapsed="false">
      <c r="A49" s="62" t="s">
        <v>176</v>
      </c>
      <c r="B49" s="62" t="s">
        <v>177</v>
      </c>
      <c r="C49" s="62" t="s">
        <v>178</v>
      </c>
      <c r="D49" s="63" t="s">
        <v>80</v>
      </c>
      <c r="E49" s="30" t="s">
        <v>48</v>
      </c>
      <c r="F49" s="30" t="s">
        <v>179</v>
      </c>
      <c r="G49" s="43"/>
      <c r="H49" s="64" t="n">
        <f aca="false">G49*6.25</f>
        <v>0</v>
      </c>
      <c r="I49" s="64" t="n">
        <f aca="false">SUMIF('Suivi temps'!$C:$C,B49,'Suivi temps'!$E:$E)</f>
        <v>0</v>
      </c>
      <c r="J49" s="64" t="n">
        <f aca="false">IF(I49=0,0,I49-H49)</f>
        <v>0</v>
      </c>
      <c r="K49" s="65" t="n">
        <f aca="false">IFERROR(J49/H49,0)</f>
        <v>0</v>
      </c>
      <c r="L49" s="30" t="s">
        <v>180</v>
      </c>
      <c r="M49" s="66" t="s">
        <v>181</v>
      </c>
    </row>
    <row r="50" customFormat="false" ht="15" hidden="false" customHeight="true" outlineLevel="0" collapsed="false">
      <c r="A50" s="62" t="s">
        <v>176</v>
      </c>
      <c r="B50" s="62" t="s">
        <v>182</v>
      </c>
      <c r="C50" s="62" t="s">
        <v>183</v>
      </c>
      <c r="D50" s="63" t="s">
        <v>80</v>
      </c>
      <c r="E50" s="30" t="s">
        <v>48</v>
      </c>
      <c r="F50" s="30" t="s">
        <v>179</v>
      </c>
      <c r="G50" s="43"/>
      <c r="H50" s="64" t="n">
        <f aca="false">G50*6.25</f>
        <v>0</v>
      </c>
      <c r="I50" s="64" t="n">
        <f aca="false">SUMIF('Suivi temps'!$C:$C,B50,'Suivi temps'!$E:$E)</f>
        <v>0</v>
      </c>
      <c r="J50" s="64" t="n">
        <f aca="false">IF(I50=0,0,I50-H50)</f>
        <v>0</v>
      </c>
      <c r="K50" s="65" t="n">
        <f aca="false">IFERROR(J50/H50,0)</f>
        <v>0</v>
      </c>
      <c r="L50" s="30" t="s">
        <v>180</v>
      </c>
      <c r="M50" s="66" t="s">
        <v>181</v>
      </c>
    </row>
    <row r="51" customFormat="false" ht="15" hidden="false" customHeight="true" outlineLevel="0" collapsed="false">
      <c r="A51" s="62" t="s">
        <v>176</v>
      </c>
      <c r="B51" s="62" t="s">
        <v>184</v>
      </c>
      <c r="C51" s="62" t="s">
        <v>185</v>
      </c>
      <c r="D51" s="63" t="s">
        <v>80</v>
      </c>
      <c r="E51" s="30" t="s">
        <v>46</v>
      </c>
      <c r="F51" s="30" t="s">
        <v>179</v>
      </c>
      <c r="G51" s="43"/>
      <c r="H51" s="64" t="n">
        <f aca="false">G51*6.25</f>
        <v>0</v>
      </c>
      <c r="I51" s="64" t="n">
        <f aca="false">SUMIF('Suivi temps'!$C:$C,B51,'Suivi temps'!$E:$E)</f>
        <v>0</v>
      </c>
      <c r="J51" s="64" t="n">
        <f aca="false">IF(I51=0,0,I51-H51)</f>
        <v>0</v>
      </c>
      <c r="K51" s="65" t="n">
        <f aca="false">IFERROR(J51/H51,0)</f>
        <v>0</v>
      </c>
      <c r="L51" s="30" t="s">
        <v>180</v>
      </c>
      <c r="M51" s="66" t="s">
        <v>181</v>
      </c>
    </row>
    <row r="53" customFormat="false" ht="15" hidden="false" customHeight="true" outlineLevel="0" collapsed="false">
      <c r="A53" s="67"/>
      <c r="B53" s="67"/>
      <c r="C53" s="21" t="s">
        <v>186</v>
      </c>
      <c r="D53" s="67"/>
      <c r="E53" s="67"/>
      <c r="F53" s="67"/>
      <c r="G53" s="68" t="n">
        <f aca="false">SUM(G5:G51)</f>
        <v>48</v>
      </c>
      <c r="H53" s="69" t="n">
        <f aca="false">SUM(H5:H51)</f>
        <v>300</v>
      </c>
      <c r="I53" s="69" t="n">
        <f aca="false">SUM(I5:I51)</f>
        <v>281.25</v>
      </c>
      <c r="J53" s="69" t="n">
        <f aca="false">SUM(J5:J51)</f>
        <v>-18.75</v>
      </c>
      <c r="K53" s="70" t="n">
        <f aca="false">IFERROR(J53/H53,0)</f>
        <v>-0.0625</v>
      </c>
      <c r="L53" s="67"/>
      <c r="M53" s="67"/>
    </row>
    <row r="55" customFormat="false" ht="15" hidden="false" customHeight="true" outlineLevel="0" collapsed="false">
      <c r="C55" s="4" t="s">
        <v>187</v>
      </c>
      <c r="G55" s="31" t="n">
        <f aca="false">IFERROR(Accueil!C21,"Onglet Accueil supprimé")</f>
        <v>52.5</v>
      </c>
    </row>
    <row r="56" customFormat="false" ht="15" hidden="false" customHeight="true" outlineLevel="0" collapsed="false">
      <c r="C56" s="4" t="s">
        <v>188</v>
      </c>
      <c r="G56" s="71" t="n">
        <f aca="false">G55-G53</f>
        <v>4.5</v>
      </c>
    </row>
    <row r="57" customFormat="false" ht="15" hidden="false" customHeight="true" outlineLevel="0" collapsed="false">
      <c r="C57" s="4" t="s">
        <v>38</v>
      </c>
      <c r="G57" s="72" t="n">
        <f aca="false">IFERROR(G53/G55,0)</f>
        <v>0.914285714285714</v>
      </c>
    </row>
    <row r="59" customFormat="false" ht="15" hidden="false" customHeight="true" outlineLevel="0" collapsed="false">
      <c r="C59" s="2" t="s">
        <v>189</v>
      </c>
    </row>
    <row r="60" customFormat="false" ht="15" hidden="false" customHeight="true" outlineLevel="0" collapsed="false">
      <c r="C60" s="2" t="s">
        <v>190</v>
      </c>
    </row>
    <row r="61" customFormat="false" ht="15" hidden="false" customHeight="true" outlineLevel="0" collapsed="false">
      <c r="C61" s="2" t="s">
        <v>191</v>
      </c>
    </row>
    <row r="62" customFormat="false" ht="15" hidden="false" customHeight="true" outlineLevel="0" collapsed="false">
      <c r="C62" s="2" t="s">
        <v>192</v>
      </c>
    </row>
  </sheetData>
  <autoFilter ref="A4:M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58ED5"/>
    <pageSetUpPr fitToPage="false"/>
  </sheetPr>
  <dimension ref="A1:J305"/>
  <sheetViews>
    <sheetView showFormulas="false" showGridLines="false" showRowColHeaders="true" showZeros="true" rightToLeft="false" tabSelected="false" showOutlineSymbols="true" defaultGridColor="true" view="normal" topLeftCell="A1" colorId="64" zoomScale="91" zoomScaleNormal="91" zoomScalePageLayoutView="100" workbookViewId="0">
      <pane xSplit="0" ySplit="4" topLeftCell="A31" activePane="bottomLeft" state="frozen"/>
      <selection pane="topLeft" activeCell="A1" activeCellId="0" sqref="A1"/>
      <selection pane="bottomLeft" activeCell="D30" activeCellId="0" sqref="D30"/>
    </sheetView>
  </sheetViews>
  <sheetFormatPr defaultColWidth="8.66796875" defaultRowHeight="15" zeroHeight="false" outlineLevelRow="0" outlineLevelCol="0"/>
  <cols>
    <col collapsed="false" customWidth="true" hidden="false" outlineLevel="0" max="1" min="1" style="73" width="13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44"/>
    <col collapsed="false" customWidth="true" hidden="false" outlineLevel="0" max="5" min="5" style="0" width="10"/>
    <col collapsed="false" customWidth="true" hidden="false" outlineLevel="0" max="6" min="6" style="0" width="4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18" hidden="false" customHeight="true" outlineLevel="0" collapsed="false">
      <c r="A1" s="74" t="s">
        <v>193</v>
      </c>
    </row>
    <row r="2" customFormat="false" ht="15" hidden="false" customHeight="true" outlineLevel="0" collapsed="false">
      <c r="A2" s="75" t="s">
        <v>194</v>
      </c>
    </row>
    <row r="3" customFormat="false" ht="15.75" hidden="false" customHeight="true" outlineLevel="0" collapsed="false"/>
    <row r="4" customFormat="false" ht="31.5" hidden="false" customHeight="true" outlineLevel="0" collapsed="false">
      <c r="A4" s="76" t="s">
        <v>195</v>
      </c>
      <c r="B4" s="6" t="s">
        <v>41</v>
      </c>
      <c r="C4" s="6" t="s">
        <v>196</v>
      </c>
      <c r="D4" s="6" t="s">
        <v>197</v>
      </c>
      <c r="E4" s="6" t="s">
        <v>198</v>
      </c>
      <c r="F4" s="6" t="s">
        <v>65</v>
      </c>
      <c r="H4" s="3" t="s">
        <v>199</v>
      </c>
    </row>
    <row r="5" customFormat="false" ht="15.75" hidden="false" customHeight="true" outlineLevel="0" collapsed="false">
      <c r="A5" s="77" t="s">
        <v>200</v>
      </c>
      <c r="B5" s="78" t="s">
        <v>45</v>
      </c>
      <c r="C5" s="78" t="s">
        <v>67</v>
      </c>
      <c r="D5" s="7" t="str">
        <f aca="false">IFERROR(INDEX(Chiffrage!$C:$C,MATCH(C5,Chiffrage!$B:$B,0)),"")</f>
        <v>Étude de marché</v>
      </c>
      <c r="E5" s="79" t="n">
        <v>6.25</v>
      </c>
      <c r="F5" s="78"/>
      <c r="H5" s="23" t="s">
        <v>41</v>
      </c>
      <c r="I5" s="23" t="s">
        <v>198</v>
      </c>
      <c r="J5" s="23" t="s">
        <v>201</v>
      </c>
    </row>
    <row r="6" customFormat="false" ht="15.75" hidden="false" customHeight="true" outlineLevel="0" collapsed="false">
      <c r="A6" s="77" t="s">
        <v>200</v>
      </c>
      <c r="B6" s="78" t="s">
        <v>46</v>
      </c>
      <c r="C6" s="78" t="s">
        <v>78</v>
      </c>
      <c r="D6" s="7" t="str">
        <f aca="false">IFERROR(INDEX(Chiffrage!$C:$C,MATCH(C6,Chiffrage!$B:$B,0)),"")</f>
        <v>Entretien terrain avec une structure</v>
      </c>
      <c r="E6" s="79" t="n">
        <v>6.25</v>
      </c>
      <c r="F6" s="78"/>
      <c r="H6" s="24" t="s">
        <v>45</v>
      </c>
      <c r="I6" s="38" t="n">
        <f aca="false">SUMIF($B:$B,H6,$E:$E)</f>
        <v>56.25</v>
      </c>
      <c r="J6" s="25" t="n">
        <f aca="false">I6/6.25</f>
        <v>9</v>
      </c>
    </row>
    <row r="7" customFormat="false" ht="15.75" hidden="false" customHeight="true" outlineLevel="0" collapsed="false">
      <c r="A7" s="77" t="s">
        <v>200</v>
      </c>
      <c r="B7" s="78" t="s">
        <v>47</v>
      </c>
      <c r="C7" s="78" t="s">
        <v>74</v>
      </c>
      <c r="D7" s="7" t="str">
        <f aca="false">IFERROR(INDEX(Chiffrage!$C:$C,MATCH(C7,Chiffrage!$B:$B,0)),"")</f>
        <v>Cahier des charges</v>
      </c>
      <c r="E7" s="79" t="n">
        <v>6.25</v>
      </c>
      <c r="F7" s="78"/>
      <c r="H7" s="27" t="s">
        <v>46</v>
      </c>
      <c r="I7" s="41" t="n">
        <f aca="false">SUMIF($B:$B,H7,$E:$E)</f>
        <v>56.25</v>
      </c>
      <c r="J7" s="25" t="n">
        <f aca="false">I7/6.25</f>
        <v>9</v>
      </c>
    </row>
    <row r="8" customFormat="false" ht="15.75" hidden="false" customHeight="true" outlineLevel="0" collapsed="false">
      <c r="A8" s="77" t="s">
        <v>200</v>
      </c>
      <c r="B8" s="78" t="s">
        <v>48</v>
      </c>
      <c r="C8" s="78" t="s">
        <v>76</v>
      </c>
      <c r="D8" s="7" t="str">
        <f aca="false">IFERROR(INDEX(Chiffrage!$C:$C,MATCH(C8,Chiffrage!$B:$B,0)),"")</f>
        <v>Dérisquage des données publiques (test API)</v>
      </c>
      <c r="E8" s="79" t="n">
        <v>6.25</v>
      </c>
      <c r="F8" s="78"/>
      <c r="H8" s="30" t="s">
        <v>47</v>
      </c>
      <c r="I8" s="44" t="n">
        <f aca="false">SUMIF($B:$B,H8,$E:$E)</f>
        <v>56.25</v>
      </c>
      <c r="J8" s="25" t="n">
        <f aca="false">I8/6.25</f>
        <v>9</v>
      </c>
    </row>
    <row r="9" customFormat="false" ht="15.75" hidden="false" customHeight="true" outlineLevel="0" collapsed="false">
      <c r="A9" s="77" t="s">
        <v>200</v>
      </c>
      <c r="B9" s="78" t="s">
        <v>49</v>
      </c>
      <c r="C9" s="78" t="s">
        <v>100</v>
      </c>
      <c r="D9" s="7" t="str">
        <f aca="false">IFERROR(INDEX(Chiffrage!$C:$C,MATCH(C9,Chiffrage!$B:$B,0)),"")</f>
        <v>Authentification développée par nous</v>
      </c>
      <c r="E9" s="79" t="n">
        <v>6.25</v>
      </c>
      <c r="F9" s="78"/>
      <c r="H9" s="30" t="s">
        <v>48</v>
      </c>
      <c r="I9" s="44" t="n">
        <f aca="false">SUMIF($B:$B,H9,$E:$E)</f>
        <v>56.25</v>
      </c>
      <c r="J9" s="25" t="n">
        <f aca="false">I9/6.25</f>
        <v>9</v>
      </c>
    </row>
    <row r="10" customFormat="false" ht="15.75" hidden="false" customHeight="true" outlineLevel="0" collapsed="false">
      <c r="A10" s="77" t="s">
        <v>202</v>
      </c>
      <c r="B10" s="78" t="s">
        <v>45</v>
      </c>
      <c r="C10" s="78" t="s">
        <v>72</v>
      </c>
      <c r="D10" s="7" t="str">
        <f aca="false">IFERROR(INDEX(Chiffrage!$C:$C,MATCH(C10,Chiffrage!$B:$B,0)),"")</f>
        <v>Analyse de marché et positionnement</v>
      </c>
      <c r="E10" s="79" t="n">
        <v>6.25</v>
      </c>
      <c r="F10" s="78"/>
      <c r="H10" s="30" t="s">
        <v>49</v>
      </c>
      <c r="I10" s="44" t="n">
        <f aca="false">SUMIF($B:$B,H10,$E:$E)</f>
        <v>56.25</v>
      </c>
      <c r="J10" s="25" t="n">
        <f aca="false">I10/6.25</f>
        <v>9</v>
      </c>
    </row>
    <row r="11" customFormat="false" ht="15.75" hidden="false" customHeight="true" outlineLevel="0" collapsed="false">
      <c r="A11" s="77" t="s">
        <v>202</v>
      </c>
      <c r="B11" s="78" t="s">
        <v>46</v>
      </c>
      <c r="C11" s="78" t="s">
        <v>93</v>
      </c>
      <c r="D11" s="7" t="str">
        <f aca="false">IFERROR(INDEX(Chiffrage!$C:$C,MATCH(C11,Chiffrage!$B:$B,0)),"")</f>
        <v>Maquettes des écrans</v>
      </c>
      <c r="E11" s="79" t="n">
        <v>6.25</v>
      </c>
      <c r="F11" s="78"/>
      <c r="H11" s="21" t="s">
        <v>203</v>
      </c>
      <c r="I11" s="69" t="n">
        <f aca="false">SUM(I6:I10)</f>
        <v>281.25</v>
      </c>
      <c r="J11" s="68" t="n">
        <f aca="false">SUM(J6:J10)</f>
        <v>45</v>
      </c>
    </row>
    <row r="12" customFormat="false" ht="15" hidden="false" customHeight="true" outlineLevel="0" collapsed="false">
      <c r="A12" s="77" t="s">
        <v>202</v>
      </c>
      <c r="B12" s="78" t="s">
        <v>47</v>
      </c>
      <c r="C12" s="78" t="s">
        <v>82</v>
      </c>
      <c r="D12" s="7" t="str">
        <f aca="false">IFERROR(INDEX(Chiffrage!$C:$C,MATCH(C12,Chiffrage!$B:$B,0)),"")</f>
        <v>Pilotage, relevé du temps, points quotidiens</v>
      </c>
      <c r="E12" s="79" t="n">
        <v>6.25</v>
      </c>
      <c r="F12" s="78"/>
    </row>
    <row r="13" customFormat="false" ht="15" hidden="false" customHeight="true" outlineLevel="0" collapsed="false">
      <c r="A13" s="77" t="s">
        <v>202</v>
      </c>
      <c r="B13" s="78" t="s">
        <v>48</v>
      </c>
      <c r="C13" s="78" t="s">
        <v>129</v>
      </c>
      <c r="D13" s="7" t="str">
        <f aca="false">IFERROR(INDEX(Chiffrage!$C:$C,MATCH(C13,Chiffrage!$B:$B,0)),"")</f>
        <v>Import API France Travail en ligne de commande</v>
      </c>
      <c r="E13" s="79" t="n">
        <v>6.25</v>
      </c>
      <c r="F13" s="78"/>
    </row>
    <row r="14" customFormat="false" ht="15" hidden="false" customHeight="true" outlineLevel="0" collapsed="false">
      <c r="A14" s="77" t="s">
        <v>202</v>
      </c>
      <c r="B14" s="78" t="s">
        <v>49</v>
      </c>
      <c r="C14" s="78" t="s">
        <v>100</v>
      </c>
      <c r="D14" s="7" t="str">
        <f aca="false">IFERROR(INDEX(Chiffrage!$C:$C,MATCH(C14,Chiffrage!$B:$B,0)),"")</f>
        <v>Authentification développée par nous</v>
      </c>
      <c r="E14" s="79" t="n">
        <v>6.25</v>
      </c>
      <c r="F14" s="78"/>
    </row>
    <row r="15" customFormat="false" ht="15" hidden="false" customHeight="true" outlineLevel="0" collapsed="false">
      <c r="A15" s="77" t="s">
        <v>14</v>
      </c>
      <c r="B15" s="78" t="s">
        <v>45</v>
      </c>
      <c r="C15" s="78" t="s">
        <v>111</v>
      </c>
      <c r="D15" s="7" t="str">
        <f aca="false">IFERROR(INDEX(Chiffrage!$C:$C,MATCH(C15,Chiffrage!$B:$B,0)),"")</f>
        <v>Dépôt d'un besoin par la structure</v>
      </c>
      <c r="E15" s="79" t="n">
        <v>6.25</v>
      </c>
      <c r="F15" s="78"/>
    </row>
    <row r="16" customFormat="false" ht="15" hidden="false" customHeight="true" outlineLevel="0" collapsed="false">
      <c r="A16" s="77" t="s">
        <v>14</v>
      </c>
      <c r="B16" s="78" t="s">
        <v>46</v>
      </c>
      <c r="C16" s="78" t="s">
        <v>96</v>
      </c>
      <c r="D16" s="7" t="str">
        <f aca="false">IFERROR(INDEX(Chiffrage!$C:$C,MATCH(C16,Chiffrage!$B:$B,0)),"")</f>
        <v>Inscription et parcours structure</v>
      </c>
      <c r="E16" s="79" t="n">
        <v>6.25</v>
      </c>
      <c r="F16" s="78"/>
    </row>
    <row r="17" customFormat="false" ht="15" hidden="false" customHeight="true" outlineLevel="0" collapsed="false">
      <c r="A17" s="77" t="s">
        <v>14</v>
      </c>
      <c r="B17" s="78" t="s">
        <v>47</v>
      </c>
      <c r="C17" s="78" t="s">
        <v>87</v>
      </c>
      <c r="D17" s="7" t="str">
        <f aca="false">IFERROR(INDEX(Chiffrage!$C:$C,MATCH(C17,Chiffrage!$B:$B,0)),"")</f>
        <v>Dépôt, arborescence, README initial</v>
      </c>
      <c r="E17" s="79" t="n">
        <v>6.25</v>
      </c>
      <c r="F17" s="78"/>
    </row>
    <row r="18" customFormat="false" ht="15" hidden="false" customHeight="true" outlineLevel="0" collapsed="false">
      <c r="A18" s="77" t="s">
        <v>14</v>
      </c>
      <c r="B18" s="78" t="s">
        <v>48</v>
      </c>
      <c r="C18" s="78" t="s">
        <v>131</v>
      </c>
      <c r="D18" s="7" t="str">
        <f aca="false">IFERROR(INDEX(Chiffrage!$C:$C,MATCH(C18,Chiffrage!$B:$B,0)),"")</f>
        <v>Nettoyage, normalisation, dédoublonnage</v>
      </c>
      <c r="E18" s="79" t="n">
        <v>6.25</v>
      </c>
      <c r="F18" s="78"/>
    </row>
    <row r="19" customFormat="false" ht="15" hidden="false" customHeight="true" outlineLevel="0" collapsed="false">
      <c r="A19" s="77" t="s">
        <v>14</v>
      </c>
      <c r="B19" s="78" t="s">
        <v>49</v>
      </c>
      <c r="C19" s="78" t="s">
        <v>105</v>
      </c>
      <c r="D19" s="7" t="str">
        <f aca="false">IFERROR(INDEX(Chiffrage!$C:$C,MATCH(C19,Chiffrage!$B:$B,0)),"")</f>
        <v>Chiffrement des documents sensibles</v>
      </c>
      <c r="E19" s="79" t="n">
        <v>6.25</v>
      </c>
      <c r="F19" s="78"/>
    </row>
    <row r="20" customFormat="false" ht="15" hidden="false" customHeight="true" outlineLevel="0" collapsed="false">
      <c r="A20" s="77" t="s">
        <v>204</v>
      </c>
      <c r="B20" s="78" t="s">
        <v>45</v>
      </c>
      <c r="C20" s="78" t="s">
        <v>146</v>
      </c>
      <c r="D20" s="7" t="str">
        <f aca="false">IFERROR(INDEX(Chiffrage!$C:$C,MATCH(C20,Chiffrage!$B:$B,0)),"")</f>
        <v>RGPD : base légale, conservation, mentions</v>
      </c>
      <c r="E20" s="79" t="n">
        <v>6.25</v>
      </c>
      <c r="F20" s="78"/>
    </row>
    <row r="21" customFormat="false" ht="15" hidden="false" customHeight="true" outlineLevel="0" collapsed="false">
      <c r="A21" s="77" t="s">
        <v>204</v>
      </c>
      <c r="B21" s="78" t="s">
        <v>46</v>
      </c>
      <c r="C21" s="78" t="s">
        <v>98</v>
      </c>
      <c r="D21" s="7" t="str">
        <f aca="false">IFERROR(INDEX(Chiffrage!$C:$C,MATCH(C21,Chiffrage!$B:$B,0)),"")</f>
        <v>Inscription et parcours intervenant</v>
      </c>
      <c r="E21" s="79" t="n">
        <v>6.25</v>
      </c>
      <c r="F21" s="78"/>
    </row>
    <row r="22" customFormat="false" ht="15" hidden="false" customHeight="true" outlineLevel="0" collapsed="false">
      <c r="A22" s="77" t="s">
        <v>204</v>
      </c>
      <c r="B22" s="78" t="s">
        <v>47</v>
      </c>
      <c r="C22" s="78" t="s">
        <v>89</v>
      </c>
      <c r="D22" s="7" t="str">
        <f aca="false">IFERROR(INDEX(Chiffrage!$C:$C,MATCH(C22,Chiffrage!$B:$B,0)),"")</f>
        <v>Environnement de développement et bases</v>
      </c>
      <c r="E22" s="79" t="n">
        <v>6.25</v>
      </c>
      <c r="F22" s="78"/>
    </row>
    <row r="23" customFormat="false" ht="15" hidden="false" customHeight="true" outlineLevel="0" collapsed="false">
      <c r="A23" s="77" t="s">
        <v>204</v>
      </c>
      <c r="B23" s="78" t="s">
        <v>48</v>
      </c>
      <c r="C23" s="78" t="s">
        <v>133</v>
      </c>
      <c r="D23" s="7" t="str">
        <f aca="false">IFERROR(INDEX(Chiffrage!$C:$C,MATCH(C23,Chiffrage!$B:$B,0)),"")</f>
        <v>Indicateur de tension affiché à la saisie</v>
      </c>
      <c r="E23" s="79" t="n">
        <v>6.25</v>
      </c>
      <c r="F23" s="78"/>
    </row>
    <row r="24" customFormat="false" ht="15" hidden="false" customHeight="true" outlineLevel="0" collapsed="false">
      <c r="A24" s="77" t="s">
        <v>204</v>
      </c>
      <c r="B24" s="78" t="s">
        <v>49</v>
      </c>
      <c r="C24" s="78" t="s">
        <v>113</v>
      </c>
      <c r="D24" s="7" t="str">
        <f aca="false">IFERROR(INDEX(Chiffrage!$C:$C,MATCH(C24,Chiffrage!$B:$B,0)),"")</f>
        <v>Cycle de vie du besoin et historique daté</v>
      </c>
      <c r="E24" s="79" t="n">
        <v>6.25</v>
      </c>
      <c r="F24" s="78"/>
    </row>
    <row r="25" customFormat="false" ht="15" hidden="false" customHeight="true" outlineLevel="0" collapsed="false">
      <c r="A25" s="77" t="s">
        <v>205</v>
      </c>
      <c r="B25" s="78" t="s">
        <v>45</v>
      </c>
      <c r="C25" s="78" t="s">
        <v>148</v>
      </c>
      <c r="D25" s="7" t="str">
        <f aca="false">IFERROR(INDEX(Chiffrage!$C:$C,MATCH(C25,Chiffrage!$B:$B,0)),"")</f>
        <v>Code du travail : mentions du contrat, durée maximale</v>
      </c>
      <c r="E25" s="79" t="n">
        <v>6.25</v>
      </c>
      <c r="F25" s="78"/>
    </row>
    <row r="26" customFormat="false" ht="15" hidden="false" customHeight="true" outlineLevel="0" collapsed="false">
      <c r="A26" s="77" t="s">
        <v>205</v>
      </c>
      <c r="B26" s="78" t="s">
        <v>46</v>
      </c>
      <c r="C26" s="78" t="s">
        <v>109</v>
      </c>
      <c r="D26" s="7" t="str">
        <f aca="false">IFERROR(INDEX(Chiffrage!$C:$C,MATCH(C26,Chiffrage!$B:$B,0)),"")</f>
        <v>Profil intervenant détaillé</v>
      </c>
      <c r="E26" s="79" t="n">
        <v>6.25</v>
      </c>
      <c r="F26" s="78"/>
    </row>
    <row r="27" customFormat="false" ht="15" hidden="false" customHeight="true" outlineLevel="0" collapsed="false">
      <c r="A27" s="77" t="s">
        <v>205</v>
      </c>
      <c r="B27" s="78" t="s">
        <v>47</v>
      </c>
      <c r="C27" s="78" t="s">
        <v>91</v>
      </c>
      <c r="D27" s="7" t="str">
        <f aca="false">IFERROR(INDEX(Chiffrage!$C:$C,MATCH(C27,Chiffrage!$B:$B,0)),"")</f>
        <v>Intégration continue</v>
      </c>
      <c r="E27" s="79" t="n">
        <v>6.25</v>
      </c>
      <c r="F27" s="78"/>
    </row>
    <row r="28" customFormat="false" ht="15.75" hidden="false" customHeight="true" outlineLevel="0" collapsed="false">
      <c r="A28" s="77" t="s">
        <v>205</v>
      </c>
      <c r="B28" s="78" t="s">
        <v>48</v>
      </c>
      <c r="C28" s="78" t="s">
        <v>135</v>
      </c>
      <c r="D28" s="7" t="str">
        <f aca="false">IFERROR(INDEX(Chiffrage!$C:$C,MATCH(C28,Chiffrage!$B:$B,0)),"")</f>
        <v>Jeu de données de démonstration</v>
      </c>
      <c r="E28" s="79" t="n">
        <v>6.25</v>
      </c>
      <c r="F28" s="78"/>
    </row>
    <row r="29" customFormat="false" ht="15.75" hidden="false" customHeight="true" outlineLevel="0" collapsed="false">
      <c r="A29" s="77" t="s">
        <v>205</v>
      </c>
      <c r="B29" s="78" t="s">
        <v>49</v>
      </c>
      <c r="C29" s="78" t="s">
        <v>120</v>
      </c>
      <c r="D29" s="7" t="str">
        <f aca="false">IFERROR(INDEX(Chiffrage!$C:$C,MATCH(C29,Chiffrage!$B:$B,0)),"")</f>
        <v>Filtres éliminatoires dont contrôle Valletoux</v>
      </c>
      <c r="E29" s="79" t="n">
        <v>6.25</v>
      </c>
      <c r="F29" s="78"/>
    </row>
    <row r="30" customFormat="false" ht="15.75" hidden="false" customHeight="true" outlineLevel="0" collapsed="false">
      <c r="A30" s="77" t="s">
        <v>206</v>
      </c>
      <c r="B30" s="78" t="s">
        <v>45</v>
      </c>
      <c r="C30" s="78" t="s">
        <v>150</v>
      </c>
      <c r="D30" s="7" t="str">
        <f aca="false">IFERROR(INDEX(Chiffrage!$C:$C,MATCH(C30,Chiffrage!$B:$B,0)),"")</f>
        <v>Accessibilité RGAA 4.1</v>
      </c>
      <c r="E30" s="79" t="n">
        <v>6.25</v>
      </c>
      <c r="F30" s="78"/>
    </row>
    <row r="31" customFormat="false" ht="15.75" hidden="false" customHeight="true" outlineLevel="0" collapsed="false">
      <c r="A31" s="77" t="s">
        <v>206</v>
      </c>
      <c r="B31" s="78" t="s">
        <v>46</v>
      </c>
      <c r="C31" s="78" t="s">
        <v>115</v>
      </c>
      <c r="D31" s="7" t="str">
        <f aca="false">IFERROR(INDEX(Chiffrage!$C:$C,MATCH(C31,Chiffrage!$B:$B,0)),"")</f>
        <v>Tableau de bord des états</v>
      </c>
      <c r="E31" s="79" t="n">
        <v>3.15</v>
      </c>
      <c r="F31" s="78"/>
    </row>
    <row r="32" customFormat="false" ht="15.75" hidden="false" customHeight="true" outlineLevel="0" collapsed="false">
      <c r="A32" s="77" t="s">
        <v>206</v>
      </c>
      <c r="B32" s="78" t="s">
        <v>46</v>
      </c>
      <c r="C32" s="78" t="s">
        <v>117</v>
      </c>
      <c r="D32" s="7" t="str">
        <f aca="false">IFERROR(INDEX(Chiffrage!$C:$C,MATCH(C32,Chiffrage!$B:$B,0)),"")</f>
        <v>Pages publiques d'annonces</v>
      </c>
      <c r="E32" s="79" t="n">
        <v>3.1</v>
      </c>
      <c r="F32" s="78"/>
    </row>
    <row r="33" customFormat="false" ht="15.75" hidden="false" customHeight="true" outlineLevel="0" collapsed="false">
      <c r="A33" s="77" t="s">
        <v>206</v>
      </c>
      <c r="B33" s="78" t="s">
        <v>47</v>
      </c>
      <c r="C33" s="78" t="s">
        <v>87</v>
      </c>
      <c r="D33" s="7" t="str">
        <f aca="false">IFERROR(INDEX(Chiffrage!$C:$C,MATCH(C33,Chiffrage!$B:$B,0)),"")</f>
        <v>Dépôt, arborescence, README initial</v>
      </c>
      <c r="E33" s="79" t="n">
        <v>3.15</v>
      </c>
      <c r="F33" s="78"/>
    </row>
    <row r="34" customFormat="false" ht="15.75" hidden="false" customHeight="true" outlineLevel="0" collapsed="false">
      <c r="A34" s="77" t="s">
        <v>206</v>
      </c>
      <c r="B34" s="78" t="s">
        <v>47</v>
      </c>
      <c r="C34" s="78" t="s">
        <v>89</v>
      </c>
      <c r="D34" s="7" t="str">
        <f aca="false">IFERROR(INDEX(Chiffrage!$C:$C,MATCH(C34,Chiffrage!$B:$B,0)),"")</f>
        <v>Environnement de développement et bases</v>
      </c>
      <c r="E34" s="79" t="n">
        <v>3.1</v>
      </c>
      <c r="F34" s="78"/>
    </row>
    <row r="35" customFormat="false" ht="15.75" hidden="false" customHeight="true" outlineLevel="0" collapsed="false">
      <c r="A35" s="77" t="s">
        <v>206</v>
      </c>
      <c r="B35" s="78" t="s">
        <v>49</v>
      </c>
      <c r="C35" s="78" t="s">
        <v>103</v>
      </c>
      <c r="D35" s="7" t="str">
        <f aca="false">IFERROR(INDEX(Chiffrage!$C:$C,MATCH(C35,Chiffrage!$B:$B,0)),"")</f>
        <v>Permissions par rôle</v>
      </c>
      <c r="E35" s="79" t="n">
        <v>2.1</v>
      </c>
      <c r="F35" s="78"/>
    </row>
    <row r="36" customFormat="false" ht="15" hidden="false" customHeight="true" outlineLevel="0" collapsed="false">
      <c r="A36" s="77" t="s">
        <v>206</v>
      </c>
      <c r="B36" s="78" t="s">
        <v>49</v>
      </c>
      <c r="C36" s="78" t="s">
        <v>122</v>
      </c>
      <c r="D36" s="7" t="str">
        <f aca="false">IFERROR(INDEX(Chiffrage!$C:$C,MATCH(C36,Chiffrage!$B:$B,0)),"")</f>
        <v>Score pondéré compétences, zone, créneaux</v>
      </c>
      <c r="E36" s="79" t="n">
        <v>4.15</v>
      </c>
      <c r="F36" s="78"/>
    </row>
    <row r="37" customFormat="false" ht="15" hidden="false" customHeight="true" outlineLevel="0" collapsed="false">
      <c r="A37" s="77" t="s">
        <v>206</v>
      </c>
      <c r="B37" s="78" t="s">
        <v>48</v>
      </c>
      <c r="C37" s="78" t="s">
        <v>139</v>
      </c>
      <c r="D37" s="7" t="str">
        <f aca="false">IFERROR(INDEX(Chiffrage!$C:$C,MATCH(C37,Chiffrage!$B:$B,0)),"")</f>
        <v>Notification automatique aux profils retenus</v>
      </c>
      <c r="E37" s="79" t="n">
        <v>3.15</v>
      </c>
      <c r="F37" s="78"/>
    </row>
    <row r="38" customFormat="false" ht="15" hidden="false" customHeight="true" outlineLevel="0" collapsed="false">
      <c r="A38" s="77" t="s">
        <v>206</v>
      </c>
      <c r="B38" s="78" t="s">
        <v>48</v>
      </c>
      <c r="C38" s="78" t="s">
        <v>141</v>
      </c>
      <c r="D38" s="7" t="str">
        <f aca="false">IFERROR(INDEX(Chiffrage!$C:$C,MATCH(C38,Chiffrage!$B:$B,0)),"")</f>
        <v>Relance automatique des besoins non pourvus</v>
      </c>
      <c r="E38" s="79" t="n">
        <v>3.1</v>
      </c>
      <c r="F38" s="78"/>
    </row>
    <row r="39" customFormat="false" ht="15" hidden="false" customHeight="true" outlineLevel="0" collapsed="false">
      <c r="A39" s="77" t="s">
        <v>207</v>
      </c>
      <c r="B39" s="78" t="s">
        <v>45</v>
      </c>
      <c r="C39" s="78" t="s">
        <v>148</v>
      </c>
      <c r="D39" s="7" t="str">
        <f aca="false">IFERROR(INDEX(Chiffrage!$C:$C,MATCH(C39,Chiffrage!$B:$B,0)),"")</f>
        <v>Code du travail : mentions du contrat, durée maximale</v>
      </c>
      <c r="E39" s="79" t="n">
        <v>6.25</v>
      </c>
      <c r="F39" s="78" t="s">
        <v>208</v>
      </c>
    </row>
    <row r="40" customFormat="false" ht="15" hidden="false" customHeight="true" outlineLevel="0" collapsed="false">
      <c r="A40" s="77" t="s">
        <v>207</v>
      </c>
      <c r="B40" s="78" t="s">
        <v>46</v>
      </c>
      <c r="C40" s="78" t="s">
        <v>93</v>
      </c>
      <c r="D40" s="7" t="str">
        <f aca="false">IFERROR(INDEX(Chiffrage!$C:$C,MATCH(C40,Chiffrage!$B:$B,0)),"")</f>
        <v>Maquettes des écrans</v>
      </c>
      <c r="E40" s="79" t="n">
        <v>3.15</v>
      </c>
      <c r="F40" s="78" t="s">
        <v>209</v>
      </c>
    </row>
    <row r="41" customFormat="false" ht="15" hidden="false" customHeight="true" outlineLevel="0" collapsed="false">
      <c r="A41" s="77" t="s">
        <v>207</v>
      </c>
      <c r="B41" s="78" t="s">
        <v>46</v>
      </c>
      <c r="C41" s="78" t="s">
        <v>154</v>
      </c>
      <c r="D41" s="7" t="str">
        <f aca="false">IFERROR(INDEX(Chiffrage!$C:$C,MATCH(C41,Chiffrage!$B:$B,0)),"")</f>
        <v>Référencement : balises, titres, sitemap</v>
      </c>
      <c r="E41" s="79" t="n">
        <v>3.1</v>
      </c>
      <c r="F41" s="78" t="s">
        <v>210</v>
      </c>
    </row>
    <row r="42" customFormat="false" ht="15" hidden="false" customHeight="true" outlineLevel="0" collapsed="false">
      <c r="A42" s="77" t="s">
        <v>207</v>
      </c>
      <c r="B42" s="78" t="s">
        <v>47</v>
      </c>
      <c r="C42" s="78" t="s">
        <v>82</v>
      </c>
      <c r="D42" s="7" t="str">
        <f aca="false">IFERROR(INDEX(Chiffrage!$C:$C,MATCH(C42,Chiffrage!$B:$B,0)),"")</f>
        <v>Pilotage, relevé du temps, points quotidiens</v>
      </c>
      <c r="E42" s="79" t="n">
        <v>6.25</v>
      </c>
      <c r="F42" s="78" t="s">
        <v>211</v>
      </c>
    </row>
    <row r="43" customFormat="false" ht="15" hidden="false" customHeight="true" outlineLevel="0" collapsed="false">
      <c r="A43" s="77" t="s">
        <v>207</v>
      </c>
      <c r="B43" s="78" t="s">
        <v>49</v>
      </c>
      <c r="C43" s="78" t="s">
        <v>124</v>
      </c>
      <c r="D43" s="7" t="str">
        <f aca="false">IFERROR(INDEX(Chiffrage!$C:$C,MATCH(C43,Chiffrage!$B:$B,0)),"")</f>
        <v>Short-list, acceptation, refus motivé</v>
      </c>
      <c r="E43" s="79" t="n">
        <v>3.15</v>
      </c>
      <c r="F43" s="78" t="s">
        <v>212</v>
      </c>
    </row>
    <row r="44" customFormat="false" ht="15" hidden="false" customHeight="true" outlineLevel="0" collapsed="false">
      <c r="A44" s="77" t="s">
        <v>207</v>
      </c>
      <c r="B44" s="78" t="s">
        <v>49</v>
      </c>
      <c r="C44" s="78" t="s">
        <v>126</v>
      </c>
      <c r="D44" s="7" t="str">
        <f aca="false">IFERROR(INDEX(Chiffrage!$C:$C,MATCH(C44,Chiffrage!$B:$B,0)),"")</f>
        <v>Journal des décisions de matching</v>
      </c>
      <c r="E44" s="79" t="n">
        <v>3.1</v>
      </c>
      <c r="F44" s="78" t="s">
        <v>212</v>
      </c>
    </row>
    <row r="45" customFormat="false" ht="15" hidden="false" customHeight="true" outlineLevel="0" collapsed="false">
      <c r="A45" s="77" t="s">
        <v>207</v>
      </c>
      <c r="B45" s="78" t="s">
        <v>48</v>
      </c>
      <c r="C45" s="78" t="s">
        <v>143</v>
      </c>
      <c r="D45" s="7" t="str">
        <f aca="false">IFERROR(INDEX(Chiffrage!$C:$C,MATCH(C45,Chiffrage!$B:$B,0)),"")</f>
        <v>Base tampon et exports des scénarios</v>
      </c>
      <c r="E45" s="79" t="n">
        <v>3.15</v>
      </c>
      <c r="F45" s="78" t="s">
        <v>213</v>
      </c>
    </row>
    <row r="46" customFormat="false" ht="15" hidden="false" customHeight="true" outlineLevel="0" collapsed="false">
      <c r="A46" s="77" t="s">
        <v>207</v>
      </c>
      <c r="B46" s="78" t="s">
        <v>48</v>
      </c>
      <c r="C46" s="78" t="s">
        <v>152</v>
      </c>
      <c r="D46" s="7" t="str">
        <f aca="false">IFERROR(INDEX(Chiffrage!$C:$C,MATCH(C46,Chiffrage!$B:$B,0)),"")</f>
        <v>Éco-conception RGESN, mesure avant et après</v>
      </c>
      <c r="E46" s="79" t="n">
        <v>3.1</v>
      </c>
      <c r="F46" s="78"/>
    </row>
    <row r="47" customFormat="false" ht="15" hidden="false" customHeight="true" outlineLevel="0" collapsed="false">
      <c r="A47" s="77" t="s">
        <v>214</v>
      </c>
      <c r="B47" s="78" t="s">
        <v>45</v>
      </c>
      <c r="C47" s="78" t="s">
        <v>163</v>
      </c>
      <c r="D47" s="7"/>
      <c r="E47" s="79" t="n">
        <v>6.25</v>
      </c>
      <c r="F47" s="78" t="s">
        <v>164</v>
      </c>
    </row>
    <row r="48" customFormat="false" ht="15" hidden="false" customHeight="true" outlineLevel="0" collapsed="false">
      <c r="A48" s="77" t="s">
        <v>214</v>
      </c>
      <c r="B48" s="78" t="s">
        <v>46</v>
      </c>
      <c r="C48" s="78" t="s">
        <v>171</v>
      </c>
      <c r="D48" s="7"/>
      <c r="E48" s="79" t="n">
        <v>6.25</v>
      </c>
      <c r="F48" s="78" t="s">
        <v>172</v>
      </c>
    </row>
    <row r="49" customFormat="false" ht="15" hidden="false" customHeight="true" outlineLevel="0" collapsed="false">
      <c r="A49" s="77" t="s">
        <v>214</v>
      </c>
      <c r="B49" s="78" t="s">
        <v>47</v>
      </c>
      <c r="C49" s="78" t="s">
        <v>159</v>
      </c>
      <c r="D49" s="7"/>
      <c r="E49" s="79" t="n">
        <v>6.25</v>
      </c>
      <c r="F49" s="78" t="s">
        <v>160</v>
      </c>
    </row>
    <row r="50" customFormat="false" ht="15" hidden="false" customHeight="true" outlineLevel="0" collapsed="false">
      <c r="A50" s="77" t="s">
        <v>214</v>
      </c>
      <c r="B50" s="78" t="s">
        <v>48</v>
      </c>
      <c r="C50" s="78" t="s">
        <v>157</v>
      </c>
      <c r="D50" s="7"/>
      <c r="E50" s="79" t="n">
        <v>6.25</v>
      </c>
      <c r="F50" s="78" t="s">
        <v>215</v>
      </c>
    </row>
    <row r="51" customFormat="false" ht="15" hidden="false" customHeight="true" outlineLevel="0" collapsed="false">
      <c r="A51" s="77" t="s">
        <v>214</v>
      </c>
      <c r="B51" s="78" t="s">
        <v>49</v>
      </c>
      <c r="C51" s="78" t="s">
        <v>157</v>
      </c>
      <c r="D51" s="7"/>
      <c r="E51" s="79" t="n">
        <v>6.25</v>
      </c>
      <c r="F51" s="78" t="s">
        <v>158</v>
      </c>
    </row>
    <row r="52" customFormat="false" ht="15" hidden="false" customHeight="true" outlineLevel="0" collapsed="false">
      <c r="A52" s="77" t="s">
        <v>216</v>
      </c>
      <c r="B52" s="78" t="s">
        <v>45</v>
      </c>
      <c r="C52" s="78" t="s">
        <v>163</v>
      </c>
      <c r="D52" s="7"/>
      <c r="E52" s="79" t="n">
        <v>3.15</v>
      </c>
      <c r="F52" s="78"/>
    </row>
    <row r="53" customFormat="false" ht="15" hidden="false" customHeight="true" outlineLevel="0" collapsed="false">
      <c r="A53" s="77" t="s">
        <v>216</v>
      </c>
      <c r="B53" s="78" t="s">
        <v>45</v>
      </c>
      <c r="C53" s="78" t="s">
        <v>173</v>
      </c>
      <c r="D53" s="7"/>
      <c r="E53" s="79" t="n">
        <v>3.1</v>
      </c>
      <c r="F53" s="78" t="s">
        <v>217</v>
      </c>
    </row>
    <row r="54" customFormat="false" ht="15" hidden="false" customHeight="true" outlineLevel="0" collapsed="false">
      <c r="A54" s="77" t="s">
        <v>216</v>
      </c>
      <c r="B54" s="78" t="s">
        <v>46</v>
      </c>
      <c r="C54" s="78" t="s">
        <v>171</v>
      </c>
      <c r="D54" s="7"/>
      <c r="E54" s="79" t="n">
        <v>3.15</v>
      </c>
      <c r="F54" s="78"/>
    </row>
    <row r="55" customFormat="false" ht="15" hidden="false" customHeight="true" outlineLevel="0" collapsed="false">
      <c r="A55" s="77" t="s">
        <v>216</v>
      </c>
      <c r="B55" s="78" t="s">
        <v>46</v>
      </c>
      <c r="C55" s="78" t="s">
        <v>173</v>
      </c>
      <c r="D55" s="7"/>
      <c r="E55" s="79" t="n">
        <v>3.1</v>
      </c>
      <c r="F55" s="78" t="s">
        <v>217</v>
      </c>
    </row>
    <row r="56" customFormat="false" ht="15" hidden="false" customHeight="true" outlineLevel="0" collapsed="false">
      <c r="A56" s="77" t="s">
        <v>216</v>
      </c>
      <c r="B56" s="78" t="s">
        <v>47</v>
      </c>
      <c r="C56" s="78" t="s">
        <v>161</v>
      </c>
      <c r="D56" s="7"/>
      <c r="E56" s="79" t="n">
        <v>2.1</v>
      </c>
      <c r="F56" s="78" t="s">
        <v>162</v>
      </c>
    </row>
    <row r="57" customFormat="false" ht="15" hidden="false" customHeight="true" outlineLevel="0" collapsed="false">
      <c r="A57" s="77" t="s">
        <v>216</v>
      </c>
      <c r="B57" s="78" t="s">
        <v>47</v>
      </c>
      <c r="C57" s="78" t="s">
        <v>166</v>
      </c>
      <c r="D57" s="7" t="str">
        <f aca="false">IFERROR(INDEX(Chiffrage!$C:$C,MATCH(C57,Chiffrage!$B:$B,0)),"")</f>
        <v>README et propreté du dépôt</v>
      </c>
      <c r="E57" s="79" t="n">
        <v>2.1</v>
      </c>
      <c r="F57" s="78" t="s">
        <v>167</v>
      </c>
    </row>
    <row r="58" customFormat="false" ht="15" hidden="false" customHeight="true" outlineLevel="0" collapsed="false">
      <c r="A58" s="77" t="s">
        <v>216</v>
      </c>
      <c r="B58" s="78" t="s">
        <v>47</v>
      </c>
      <c r="C58" s="78" t="s">
        <v>168</v>
      </c>
      <c r="D58" s="7" t="str">
        <f aca="false">IFERROR(INDEX(Chiffrage!$C:$C,MATCH(C58,Chiffrage!$B:$B,0)),"")</f>
        <v>Chiffrage réel et écart avec l'estimé</v>
      </c>
      <c r="E58" s="79" t="n">
        <v>2.05</v>
      </c>
      <c r="F58" s="78" t="s">
        <v>218</v>
      </c>
    </row>
    <row r="59" customFormat="false" ht="15" hidden="false" customHeight="true" outlineLevel="0" collapsed="false">
      <c r="A59" s="77" t="s">
        <v>216</v>
      </c>
      <c r="B59" s="78" t="s">
        <v>49</v>
      </c>
      <c r="C59" s="78" t="s">
        <v>157</v>
      </c>
      <c r="D59" s="7" t="str">
        <f aca="false">IFERROR(INDEX(Chiffrage!$C:$C,MATCH(C59,Chiffrage!$B:$B,0)),"")</f>
        <v>Tests unitaires</v>
      </c>
      <c r="E59" s="79" t="n">
        <v>3.15</v>
      </c>
      <c r="F59" s="78"/>
    </row>
    <row r="60" customFormat="false" ht="15" hidden="false" customHeight="true" outlineLevel="0" collapsed="false">
      <c r="A60" s="77" t="s">
        <v>216</v>
      </c>
      <c r="B60" s="78" t="s">
        <v>49</v>
      </c>
      <c r="C60" s="78" t="s">
        <v>173</v>
      </c>
      <c r="D60" s="7" t="str">
        <f aca="false">IFERROR(INDEX(Chiffrage!$C:$C,MATCH(C60,Chiffrage!$B:$B,0)),"")</f>
        <v>Deux répétitions de la soutenance</v>
      </c>
      <c r="E60" s="79" t="n">
        <v>3.1</v>
      </c>
      <c r="F60" s="78" t="s">
        <v>217</v>
      </c>
    </row>
    <row r="61" customFormat="false" ht="15" hidden="false" customHeight="true" outlineLevel="0" collapsed="false">
      <c r="A61" s="77" t="s">
        <v>216</v>
      </c>
      <c r="B61" s="78" t="s">
        <v>48</v>
      </c>
      <c r="C61" s="78" t="s">
        <v>159</v>
      </c>
      <c r="D61" s="7" t="str">
        <f aca="false">IFERROR(INDEX(Chiffrage!$C:$C,MATCH(C61,Chiffrage!$B:$B,0)),"")</f>
        <v>Tests fonctionnels des parcours critiques</v>
      </c>
      <c r="E61" s="79" t="n">
        <v>3.15</v>
      </c>
      <c r="F61" s="78"/>
    </row>
    <row r="62" customFormat="false" ht="15" hidden="false" customHeight="true" outlineLevel="0" collapsed="false">
      <c r="A62" s="77" t="s">
        <v>216</v>
      </c>
      <c r="B62" s="78" t="s">
        <v>48</v>
      </c>
      <c r="C62" s="78" t="s">
        <v>173</v>
      </c>
      <c r="D62" s="7" t="str">
        <f aca="false">IFERROR(INDEX(Chiffrage!$C:$C,MATCH(C62,Chiffrage!$B:$B,0)),"")</f>
        <v>Deux répétitions de la soutenance</v>
      </c>
      <c r="E62" s="79" t="n">
        <v>3.1</v>
      </c>
      <c r="F62" s="78" t="s">
        <v>217</v>
      </c>
    </row>
    <row r="63" customFormat="false" ht="15" hidden="false" customHeight="true" outlineLevel="0" collapsed="false">
      <c r="A63" s="80"/>
      <c r="B63" s="30"/>
      <c r="C63" s="30"/>
      <c r="D63" s="12" t="str">
        <f aca="false">IFERROR(INDEX(Chiffrage!$C:$C,MATCH(C63,Chiffrage!$B:$B,0)),"")</f>
        <v/>
      </c>
      <c r="E63" s="81"/>
      <c r="F63" s="30"/>
    </row>
    <row r="64" customFormat="false" ht="15" hidden="false" customHeight="true" outlineLevel="0" collapsed="false">
      <c r="A64" s="80"/>
      <c r="B64" s="30"/>
      <c r="C64" s="30"/>
      <c r="D64" s="12" t="str">
        <f aca="false">IFERROR(INDEX(Chiffrage!$C:$C,MATCH(C64,Chiffrage!$B:$B,0)),"")</f>
        <v/>
      </c>
      <c r="E64" s="81"/>
      <c r="F64" s="30"/>
    </row>
    <row r="65" customFormat="false" ht="15" hidden="false" customHeight="true" outlineLevel="0" collapsed="false">
      <c r="A65" s="80"/>
      <c r="B65" s="30"/>
      <c r="C65" s="30"/>
      <c r="D65" s="12" t="str">
        <f aca="false">IFERROR(INDEX(Chiffrage!$C:$C,MATCH(C65,Chiffrage!$B:$B,0)),"")</f>
        <v/>
      </c>
      <c r="E65" s="81"/>
      <c r="F65" s="30"/>
    </row>
    <row r="66" customFormat="false" ht="15" hidden="false" customHeight="true" outlineLevel="0" collapsed="false">
      <c r="A66" s="80"/>
      <c r="B66" s="30"/>
      <c r="C66" s="30"/>
      <c r="D66" s="12" t="str">
        <f aca="false">IFERROR(INDEX(Chiffrage!$C:$C,MATCH(C66,Chiffrage!$B:$B,0)),"")</f>
        <v/>
      </c>
      <c r="E66" s="81"/>
      <c r="F66" s="30"/>
    </row>
    <row r="67" customFormat="false" ht="15" hidden="false" customHeight="true" outlineLevel="0" collapsed="false">
      <c r="A67" s="80"/>
      <c r="B67" s="30"/>
      <c r="C67" s="30"/>
      <c r="D67" s="12" t="str">
        <f aca="false">IFERROR(INDEX(Chiffrage!$C:$C,MATCH(C67,Chiffrage!$B:$B,0)),"")</f>
        <v/>
      </c>
      <c r="E67" s="81"/>
      <c r="F67" s="30"/>
    </row>
    <row r="68" customFormat="false" ht="15" hidden="false" customHeight="true" outlineLevel="0" collapsed="false">
      <c r="A68" s="80"/>
      <c r="B68" s="30"/>
      <c r="C68" s="30"/>
      <c r="D68" s="12" t="str">
        <f aca="false">IFERROR(INDEX(Chiffrage!$C:$C,MATCH(C68,Chiffrage!$B:$B,0)),"")</f>
        <v/>
      </c>
      <c r="E68" s="81"/>
      <c r="F68" s="30"/>
    </row>
    <row r="69" customFormat="false" ht="15" hidden="false" customHeight="true" outlineLevel="0" collapsed="false">
      <c r="A69" s="80"/>
      <c r="B69" s="30"/>
      <c r="C69" s="30"/>
      <c r="D69" s="12" t="str">
        <f aca="false">IFERROR(INDEX(Chiffrage!$C:$C,MATCH(C69,Chiffrage!$B:$B,0)),"")</f>
        <v/>
      </c>
      <c r="E69" s="81"/>
      <c r="F69" s="30"/>
    </row>
    <row r="70" customFormat="false" ht="15" hidden="false" customHeight="true" outlineLevel="0" collapsed="false">
      <c r="A70" s="80"/>
      <c r="B70" s="30"/>
      <c r="C70" s="30"/>
      <c r="D70" s="12" t="str">
        <f aca="false">IFERROR(INDEX(Chiffrage!$C:$C,MATCH(C70,Chiffrage!$B:$B,0)),"")</f>
        <v/>
      </c>
      <c r="E70" s="81"/>
      <c r="F70" s="30"/>
    </row>
    <row r="71" customFormat="false" ht="15" hidden="false" customHeight="true" outlineLevel="0" collapsed="false">
      <c r="A71" s="80"/>
      <c r="B71" s="30"/>
      <c r="C71" s="30"/>
      <c r="D71" s="12" t="str">
        <f aca="false">IFERROR(INDEX(Chiffrage!$C:$C,MATCH(C71,Chiffrage!$B:$B,0)),"")</f>
        <v/>
      </c>
      <c r="E71" s="81"/>
      <c r="F71" s="30"/>
    </row>
    <row r="72" customFormat="false" ht="15" hidden="false" customHeight="true" outlineLevel="0" collapsed="false">
      <c r="A72" s="80"/>
      <c r="B72" s="30"/>
      <c r="C72" s="30"/>
      <c r="D72" s="12" t="str">
        <f aca="false">IFERROR(INDEX(Chiffrage!$C:$C,MATCH(C72,Chiffrage!$B:$B,0)),"")</f>
        <v/>
      </c>
      <c r="E72" s="81"/>
      <c r="F72" s="30"/>
    </row>
    <row r="73" customFormat="false" ht="15" hidden="false" customHeight="true" outlineLevel="0" collapsed="false">
      <c r="A73" s="80"/>
      <c r="B73" s="30"/>
      <c r="C73" s="30"/>
      <c r="D73" s="12" t="str">
        <f aca="false">IFERROR(INDEX(Chiffrage!$C:$C,MATCH(C73,Chiffrage!$B:$B,0)),"")</f>
        <v/>
      </c>
      <c r="E73" s="81"/>
      <c r="F73" s="30"/>
    </row>
    <row r="74" customFormat="false" ht="15" hidden="false" customHeight="true" outlineLevel="0" collapsed="false">
      <c r="A74" s="80"/>
      <c r="B74" s="30"/>
      <c r="C74" s="30"/>
      <c r="D74" s="12" t="str">
        <f aca="false">IFERROR(INDEX(Chiffrage!$C:$C,MATCH(C74,Chiffrage!$B:$B,0)),"")</f>
        <v/>
      </c>
      <c r="E74" s="81"/>
      <c r="F74" s="30"/>
    </row>
    <row r="75" customFormat="false" ht="15" hidden="false" customHeight="true" outlineLevel="0" collapsed="false">
      <c r="A75" s="80"/>
      <c r="B75" s="30"/>
      <c r="C75" s="30"/>
      <c r="D75" s="12" t="str">
        <f aca="false">IFERROR(INDEX(Chiffrage!$C:$C,MATCH(C75,Chiffrage!$B:$B,0)),"")</f>
        <v/>
      </c>
      <c r="E75" s="81"/>
      <c r="F75" s="30"/>
    </row>
    <row r="76" customFormat="false" ht="15" hidden="false" customHeight="true" outlineLevel="0" collapsed="false">
      <c r="A76" s="80"/>
      <c r="B76" s="30"/>
      <c r="C76" s="30"/>
      <c r="D76" s="12" t="str">
        <f aca="false">IFERROR(INDEX(Chiffrage!$C:$C,MATCH(C76,Chiffrage!$B:$B,0)),"")</f>
        <v/>
      </c>
      <c r="E76" s="81"/>
      <c r="F76" s="30"/>
    </row>
    <row r="77" customFormat="false" ht="15" hidden="false" customHeight="true" outlineLevel="0" collapsed="false">
      <c r="A77" s="80"/>
      <c r="B77" s="30"/>
      <c r="C77" s="30"/>
      <c r="D77" s="12" t="str">
        <f aca="false">IFERROR(INDEX(Chiffrage!$C:$C,MATCH(C77,Chiffrage!$B:$B,0)),"")</f>
        <v/>
      </c>
      <c r="E77" s="81"/>
      <c r="F77" s="30"/>
    </row>
    <row r="78" customFormat="false" ht="15" hidden="false" customHeight="true" outlineLevel="0" collapsed="false">
      <c r="A78" s="80"/>
      <c r="B78" s="30"/>
      <c r="C78" s="30"/>
      <c r="D78" s="12" t="str">
        <f aca="false">IFERROR(INDEX(Chiffrage!$C:$C,MATCH(C78,Chiffrage!$B:$B,0)),"")</f>
        <v/>
      </c>
      <c r="E78" s="81"/>
      <c r="F78" s="30"/>
    </row>
    <row r="79" customFormat="false" ht="15" hidden="false" customHeight="true" outlineLevel="0" collapsed="false">
      <c r="A79" s="80"/>
      <c r="B79" s="30"/>
      <c r="C79" s="30"/>
      <c r="D79" s="12" t="str">
        <f aca="false">IFERROR(INDEX(Chiffrage!$C:$C,MATCH(C79,Chiffrage!$B:$B,0)),"")</f>
        <v/>
      </c>
      <c r="E79" s="81"/>
      <c r="F79" s="30"/>
    </row>
    <row r="80" customFormat="false" ht="15" hidden="false" customHeight="true" outlineLevel="0" collapsed="false">
      <c r="A80" s="80"/>
      <c r="B80" s="30"/>
      <c r="C80" s="30"/>
      <c r="D80" s="12" t="str">
        <f aca="false">IFERROR(INDEX(Chiffrage!$C:$C,MATCH(C80,Chiffrage!$B:$B,0)),"")</f>
        <v/>
      </c>
      <c r="E80" s="81"/>
      <c r="F80" s="30"/>
    </row>
    <row r="81" customFormat="false" ht="15" hidden="false" customHeight="true" outlineLevel="0" collapsed="false">
      <c r="A81" s="80"/>
      <c r="B81" s="30"/>
      <c r="C81" s="30"/>
      <c r="D81" s="12" t="str">
        <f aca="false">IFERROR(INDEX(Chiffrage!$C:$C,MATCH(C81,Chiffrage!$B:$B,0)),"")</f>
        <v/>
      </c>
      <c r="E81" s="81"/>
      <c r="F81" s="30"/>
    </row>
    <row r="82" customFormat="false" ht="15" hidden="false" customHeight="true" outlineLevel="0" collapsed="false">
      <c r="A82" s="80"/>
      <c r="B82" s="30"/>
      <c r="C82" s="30"/>
      <c r="D82" s="12" t="str">
        <f aca="false">IFERROR(INDEX(Chiffrage!$C:$C,MATCH(C82,Chiffrage!$B:$B,0)),"")</f>
        <v/>
      </c>
      <c r="E82" s="81"/>
      <c r="F82" s="30"/>
    </row>
    <row r="83" customFormat="false" ht="15" hidden="false" customHeight="true" outlineLevel="0" collapsed="false">
      <c r="A83" s="80"/>
      <c r="B83" s="30"/>
      <c r="C83" s="30"/>
      <c r="D83" s="12" t="str">
        <f aca="false">IFERROR(INDEX(Chiffrage!$C:$C,MATCH(C83,Chiffrage!$B:$B,0)),"")</f>
        <v/>
      </c>
      <c r="E83" s="81"/>
      <c r="F83" s="30"/>
    </row>
    <row r="84" customFormat="false" ht="15" hidden="false" customHeight="true" outlineLevel="0" collapsed="false">
      <c r="A84" s="80"/>
      <c r="B84" s="30"/>
      <c r="C84" s="30"/>
      <c r="D84" s="12" t="str">
        <f aca="false">IFERROR(INDEX(Chiffrage!$C:$C,MATCH(C84,Chiffrage!$B:$B,0)),"")</f>
        <v/>
      </c>
      <c r="E84" s="81"/>
      <c r="F84" s="30"/>
    </row>
    <row r="85" customFormat="false" ht="15" hidden="false" customHeight="true" outlineLevel="0" collapsed="false">
      <c r="A85" s="80"/>
      <c r="B85" s="30"/>
      <c r="C85" s="30"/>
      <c r="D85" s="12" t="str">
        <f aca="false">IFERROR(INDEX(Chiffrage!$C:$C,MATCH(C85,Chiffrage!$B:$B,0)),"")</f>
        <v/>
      </c>
      <c r="E85" s="81"/>
      <c r="F85" s="30"/>
    </row>
    <row r="86" customFormat="false" ht="15" hidden="false" customHeight="true" outlineLevel="0" collapsed="false">
      <c r="A86" s="80"/>
      <c r="B86" s="30"/>
      <c r="C86" s="30"/>
      <c r="D86" s="12" t="str">
        <f aca="false">IFERROR(INDEX(Chiffrage!$C:$C,MATCH(C86,Chiffrage!$B:$B,0)),"")</f>
        <v/>
      </c>
      <c r="E86" s="81"/>
      <c r="F86" s="30"/>
    </row>
    <row r="87" customFormat="false" ht="15" hidden="false" customHeight="true" outlineLevel="0" collapsed="false">
      <c r="A87" s="80"/>
      <c r="B87" s="30"/>
      <c r="C87" s="30"/>
      <c r="D87" s="12" t="str">
        <f aca="false">IFERROR(INDEX(Chiffrage!$C:$C,MATCH(C87,Chiffrage!$B:$B,0)),"")</f>
        <v/>
      </c>
      <c r="E87" s="81"/>
      <c r="F87" s="30"/>
    </row>
    <row r="88" customFormat="false" ht="15" hidden="false" customHeight="true" outlineLevel="0" collapsed="false">
      <c r="A88" s="80"/>
      <c r="B88" s="30"/>
      <c r="C88" s="30"/>
      <c r="D88" s="12" t="str">
        <f aca="false">IFERROR(INDEX(Chiffrage!$C:$C,MATCH(C88,Chiffrage!$B:$B,0)),"")</f>
        <v/>
      </c>
      <c r="E88" s="81"/>
      <c r="F88" s="30"/>
    </row>
    <row r="89" customFormat="false" ht="15" hidden="false" customHeight="true" outlineLevel="0" collapsed="false">
      <c r="A89" s="80"/>
      <c r="B89" s="30"/>
      <c r="C89" s="30"/>
      <c r="D89" s="12" t="str">
        <f aca="false">IFERROR(INDEX(Chiffrage!$C:$C,MATCH(C89,Chiffrage!$B:$B,0)),"")</f>
        <v/>
      </c>
      <c r="E89" s="81"/>
      <c r="F89" s="30"/>
    </row>
    <row r="90" customFormat="false" ht="15" hidden="false" customHeight="true" outlineLevel="0" collapsed="false">
      <c r="A90" s="80"/>
      <c r="B90" s="30"/>
      <c r="C90" s="30"/>
      <c r="D90" s="12" t="str">
        <f aca="false">IFERROR(INDEX(Chiffrage!$C:$C,MATCH(C90,Chiffrage!$B:$B,0)),"")</f>
        <v/>
      </c>
      <c r="E90" s="81"/>
      <c r="F90" s="30"/>
    </row>
    <row r="91" customFormat="false" ht="15" hidden="false" customHeight="true" outlineLevel="0" collapsed="false">
      <c r="A91" s="80"/>
      <c r="B91" s="30"/>
      <c r="C91" s="30"/>
      <c r="D91" s="12" t="str">
        <f aca="false">IFERROR(INDEX(Chiffrage!$C:$C,MATCH(C91,Chiffrage!$B:$B,0)),"")</f>
        <v/>
      </c>
      <c r="E91" s="81"/>
      <c r="F91" s="30"/>
    </row>
    <row r="92" customFormat="false" ht="15" hidden="false" customHeight="true" outlineLevel="0" collapsed="false">
      <c r="A92" s="80"/>
      <c r="B92" s="30"/>
      <c r="C92" s="30"/>
      <c r="D92" s="12" t="str">
        <f aca="false">IFERROR(INDEX(Chiffrage!$C:$C,MATCH(C92,Chiffrage!$B:$B,0)),"")</f>
        <v/>
      </c>
      <c r="E92" s="81"/>
      <c r="F92" s="30"/>
    </row>
    <row r="93" customFormat="false" ht="15" hidden="false" customHeight="true" outlineLevel="0" collapsed="false">
      <c r="A93" s="80"/>
      <c r="B93" s="30"/>
      <c r="C93" s="30"/>
      <c r="D93" s="12" t="str">
        <f aca="false">IFERROR(INDEX(Chiffrage!$C:$C,MATCH(C93,Chiffrage!$B:$B,0)),"")</f>
        <v/>
      </c>
      <c r="E93" s="81"/>
      <c r="F93" s="30"/>
    </row>
    <row r="94" customFormat="false" ht="15" hidden="false" customHeight="true" outlineLevel="0" collapsed="false">
      <c r="A94" s="80"/>
      <c r="B94" s="30"/>
      <c r="C94" s="30"/>
      <c r="D94" s="12" t="str">
        <f aca="false">IFERROR(INDEX(Chiffrage!$C:$C,MATCH(C94,Chiffrage!$B:$B,0)),"")</f>
        <v/>
      </c>
      <c r="E94" s="81"/>
      <c r="F94" s="30"/>
    </row>
    <row r="95" customFormat="false" ht="15" hidden="false" customHeight="true" outlineLevel="0" collapsed="false">
      <c r="A95" s="80"/>
      <c r="B95" s="30"/>
      <c r="C95" s="30"/>
      <c r="D95" s="12" t="str">
        <f aca="false">IFERROR(INDEX(Chiffrage!$C:$C,MATCH(C95,Chiffrage!$B:$B,0)),"")</f>
        <v/>
      </c>
      <c r="E95" s="81"/>
      <c r="F95" s="30"/>
    </row>
    <row r="96" customFormat="false" ht="15" hidden="false" customHeight="true" outlineLevel="0" collapsed="false">
      <c r="A96" s="80"/>
      <c r="B96" s="30"/>
      <c r="C96" s="30"/>
      <c r="D96" s="12" t="str">
        <f aca="false">IFERROR(INDEX(Chiffrage!$C:$C,MATCH(C96,Chiffrage!$B:$B,0)),"")</f>
        <v/>
      </c>
      <c r="E96" s="81"/>
      <c r="F96" s="30"/>
    </row>
    <row r="97" customFormat="false" ht="15" hidden="false" customHeight="true" outlineLevel="0" collapsed="false">
      <c r="A97" s="80"/>
      <c r="B97" s="30"/>
      <c r="C97" s="30"/>
      <c r="D97" s="12" t="str">
        <f aca="false">IFERROR(INDEX(Chiffrage!$C:$C,MATCH(C97,Chiffrage!$B:$B,0)),"")</f>
        <v/>
      </c>
      <c r="E97" s="81"/>
      <c r="F97" s="30"/>
    </row>
    <row r="98" customFormat="false" ht="15" hidden="false" customHeight="true" outlineLevel="0" collapsed="false">
      <c r="A98" s="80"/>
      <c r="B98" s="30"/>
      <c r="C98" s="30"/>
      <c r="D98" s="12" t="str">
        <f aca="false">IFERROR(INDEX(Chiffrage!$C:$C,MATCH(C98,Chiffrage!$B:$B,0)),"")</f>
        <v/>
      </c>
      <c r="E98" s="81"/>
      <c r="F98" s="30"/>
    </row>
    <row r="99" customFormat="false" ht="15" hidden="false" customHeight="true" outlineLevel="0" collapsed="false">
      <c r="A99" s="80"/>
      <c r="B99" s="30"/>
      <c r="C99" s="30"/>
      <c r="D99" s="12" t="str">
        <f aca="false">IFERROR(INDEX(Chiffrage!$C:$C,MATCH(C99,Chiffrage!$B:$B,0)),"")</f>
        <v/>
      </c>
      <c r="E99" s="81"/>
      <c r="F99" s="30"/>
    </row>
    <row r="100" customFormat="false" ht="15" hidden="false" customHeight="true" outlineLevel="0" collapsed="false">
      <c r="A100" s="80"/>
      <c r="B100" s="30"/>
      <c r="C100" s="30"/>
      <c r="D100" s="12" t="str">
        <f aca="false">IFERROR(INDEX(Chiffrage!$C:$C,MATCH(C100,Chiffrage!$B:$B,0)),"")</f>
        <v/>
      </c>
      <c r="E100" s="81"/>
      <c r="F100" s="30"/>
    </row>
    <row r="101" customFormat="false" ht="15" hidden="false" customHeight="true" outlineLevel="0" collapsed="false">
      <c r="A101" s="80"/>
      <c r="B101" s="30"/>
      <c r="C101" s="30"/>
      <c r="D101" s="12" t="str">
        <f aca="false">IFERROR(INDEX(Chiffrage!$C:$C,MATCH(C101,Chiffrage!$B:$B,0)),"")</f>
        <v/>
      </c>
      <c r="E101" s="81"/>
      <c r="F101" s="30"/>
    </row>
    <row r="102" customFormat="false" ht="15" hidden="false" customHeight="true" outlineLevel="0" collapsed="false">
      <c r="A102" s="80"/>
      <c r="B102" s="30"/>
      <c r="C102" s="30"/>
      <c r="D102" s="12" t="str">
        <f aca="false">IFERROR(INDEX(Chiffrage!$C:$C,MATCH(C102,Chiffrage!$B:$B,0)),"")</f>
        <v/>
      </c>
      <c r="E102" s="81"/>
      <c r="F102" s="30"/>
    </row>
    <row r="103" customFormat="false" ht="15" hidden="false" customHeight="true" outlineLevel="0" collapsed="false">
      <c r="A103" s="80"/>
      <c r="B103" s="30"/>
      <c r="C103" s="30"/>
      <c r="D103" s="12" t="str">
        <f aca="false">IFERROR(INDEX(Chiffrage!$C:$C,MATCH(C103,Chiffrage!$B:$B,0)),"")</f>
        <v/>
      </c>
      <c r="E103" s="81"/>
      <c r="F103" s="30"/>
    </row>
    <row r="104" customFormat="false" ht="15" hidden="false" customHeight="true" outlineLevel="0" collapsed="false">
      <c r="A104" s="80"/>
      <c r="B104" s="30"/>
      <c r="C104" s="30"/>
      <c r="D104" s="12" t="str">
        <f aca="false">IFERROR(INDEX(Chiffrage!$C:$C,MATCH(C104,Chiffrage!$B:$B,0)),"")</f>
        <v/>
      </c>
      <c r="E104" s="81"/>
      <c r="F104" s="30"/>
    </row>
    <row r="105" customFormat="false" ht="15" hidden="false" customHeight="true" outlineLevel="0" collapsed="false">
      <c r="A105" s="80"/>
      <c r="B105" s="30"/>
      <c r="C105" s="30"/>
      <c r="D105" s="12" t="str">
        <f aca="false">IFERROR(INDEX(Chiffrage!$C:$C,MATCH(C105,Chiffrage!$B:$B,0)),"")</f>
        <v/>
      </c>
      <c r="E105" s="81"/>
      <c r="F105" s="30"/>
    </row>
    <row r="106" customFormat="false" ht="15" hidden="false" customHeight="true" outlineLevel="0" collapsed="false">
      <c r="A106" s="80"/>
      <c r="B106" s="30"/>
      <c r="C106" s="30"/>
      <c r="D106" s="12" t="str">
        <f aca="false">IFERROR(INDEX(Chiffrage!$C:$C,MATCH(C106,Chiffrage!$B:$B,0)),"")</f>
        <v/>
      </c>
      <c r="E106" s="81"/>
      <c r="F106" s="30"/>
    </row>
    <row r="107" customFormat="false" ht="15" hidden="false" customHeight="true" outlineLevel="0" collapsed="false">
      <c r="A107" s="80"/>
      <c r="B107" s="30"/>
      <c r="C107" s="30"/>
      <c r="D107" s="12" t="str">
        <f aca="false">IFERROR(INDEX(Chiffrage!$C:$C,MATCH(C107,Chiffrage!$B:$B,0)),"")</f>
        <v/>
      </c>
      <c r="E107" s="81"/>
      <c r="F107" s="30"/>
    </row>
    <row r="108" customFormat="false" ht="15" hidden="false" customHeight="true" outlineLevel="0" collapsed="false">
      <c r="A108" s="80"/>
      <c r="B108" s="30"/>
      <c r="C108" s="30"/>
      <c r="D108" s="12" t="str">
        <f aca="false">IFERROR(INDEX(Chiffrage!$C:$C,MATCH(C108,Chiffrage!$B:$B,0)),"")</f>
        <v/>
      </c>
      <c r="E108" s="81"/>
      <c r="F108" s="30"/>
    </row>
    <row r="109" customFormat="false" ht="15" hidden="false" customHeight="true" outlineLevel="0" collapsed="false">
      <c r="A109" s="80"/>
      <c r="B109" s="30"/>
      <c r="C109" s="30"/>
      <c r="D109" s="12" t="str">
        <f aca="false">IFERROR(INDEX(Chiffrage!$C:$C,MATCH(C109,Chiffrage!$B:$B,0)),"")</f>
        <v/>
      </c>
      <c r="E109" s="81"/>
      <c r="F109" s="30"/>
    </row>
    <row r="110" customFormat="false" ht="15" hidden="false" customHeight="true" outlineLevel="0" collapsed="false">
      <c r="A110" s="80"/>
      <c r="B110" s="30"/>
      <c r="C110" s="30"/>
      <c r="D110" s="12" t="str">
        <f aca="false">IFERROR(INDEX(Chiffrage!$C:$C,MATCH(C110,Chiffrage!$B:$B,0)),"")</f>
        <v/>
      </c>
      <c r="E110" s="81"/>
      <c r="F110" s="30"/>
    </row>
    <row r="111" customFormat="false" ht="15" hidden="false" customHeight="true" outlineLevel="0" collapsed="false">
      <c r="A111" s="80"/>
      <c r="B111" s="30"/>
      <c r="C111" s="30"/>
      <c r="D111" s="12" t="str">
        <f aca="false">IFERROR(INDEX(Chiffrage!$C:$C,MATCH(C111,Chiffrage!$B:$B,0)),"")</f>
        <v/>
      </c>
      <c r="E111" s="81"/>
      <c r="F111" s="30"/>
    </row>
    <row r="112" customFormat="false" ht="15" hidden="false" customHeight="true" outlineLevel="0" collapsed="false">
      <c r="A112" s="80"/>
      <c r="B112" s="30"/>
      <c r="C112" s="30"/>
      <c r="D112" s="12" t="str">
        <f aca="false">IFERROR(INDEX(Chiffrage!$C:$C,MATCH(C112,Chiffrage!$B:$B,0)),"")</f>
        <v/>
      </c>
      <c r="E112" s="81"/>
      <c r="F112" s="30"/>
    </row>
    <row r="113" customFormat="false" ht="15" hidden="false" customHeight="true" outlineLevel="0" collapsed="false">
      <c r="A113" s="80"/>
      <c r="B113" s="30"/>
      <c r="C113" s="30"/>
      <c r="D113" s="12" t="str">
        <f aca="false">IFERROR(INDEX(Chiffrage!$C:$C,MATCH(C113,Chiffrage!$B:$B,0)),"")</f>
        <v/>
      </c>
      <c r="E113" s="81"/>
      <c r="F113" s="30"/>
    </row>
    <row r="114" customFormat="false" ht="15" hidden="false" customHeight="true" outlineLevel="0" collapsed="false">
      <c r="A114" s="80"/>
      <c r="B114" s="30"/>
      <c r="C114" s="30"/>
      <c r="D114" s="12" t="str">
        <f aca="false">IFERROR(INDEX(Chiffrage!$C:$C,MATCH(C114,Chiffrage!$B:$B,0)),"")</f>
        <v/>
      </c>
      <c r="E114" s="81"/>
      <c r="F114" s="30"/>
    </row>
    <row r="115" customFormat="false" ht="15" hidden="false" customHeight="true" outlineLevel="0" collapsed="false">
      <c r="A115" s="80"/>
      <c r="B115" s="30"/>
      <c r="C115" s="30"/>
      <c r="D115" s="12" t="str">
        <f aca="false">IFERROR(INDEX(Chiffrage!$C:$C,MATCH(C115,Chiffrage!$B:$B,0)),"")</f>
        <v/>
      </c>
      <c r="E115" s="81"/>
      <c r="F115" s="30"/>
    </row>
    <row r="116" customFormat="false" ht="15" hidden="false" customHeight="true" outlineLevel="0" collapsed="false">
      <c r="A116" s="80"/>
      <c r="B116" s="30"/>
      <c r="C116" s="30"/>
      <c r="D116" s="12" t="str">
        <f aca="false">IFERROR(INDEX(Chiffrage!$C:$C,MATCH(C116,Chiffrage!$B:$B,0)),"")</f>
        <v/>
      </c>
      <c r="E116" s="81"/>
      <c r="F116" s="30"/>
    </row>
    <row r="117" customFormat="false" ht="15" hidden="false" customHeight="true" outlineLevel="0" collapsed="false">
      <c r="A117" s="80"/>
      <c r="B117" s="30"/>
      <c r="C117" s="30"/>
      <c r="D117" s="12" t="str">
        <f aca="false">IFERROR(INDEX(Chiffrage!$C:$C,MATCH(C117,Chiffrage!$B:$B,0)),"")</f>
        <v/>
      </c>
      <c r="E117" s="81"/>
      <c r="F117" s="30"/>
    </row>
    <row r="118" customFormat="false" ht="15" hidden="false" customHeight="true" outlineLevel="0" collapsed="false">
      <c r="A118" s="80"/>
      <c r="B118" s="30"/>
      <c r="C118" s="30"/>
      <c r="D118" s="12" t="str">
        <f aca="false">IFERROR(INDEX(Chiffrage!$C:$C,MATCH(C118,Chiffrage!$B:$B,0)),"")</f>
        <v/>
      </c>
      <c r="E118" s="81"/>
      <c r="F118" s="30"/>
    </row>
    <row r="119" customFormat="false" ht="15" hidden="false" customHeight="true" outlineLevel="0" collapsed="false">
      <c r="A119" s="80"/>
      <c r="B119" s="30"/>
      <c r="C119" s="30"/>
      <c r="D119" s="12" t="str">
        <f aca="false">IFERROR(INDEX(Chiffrage!$C:$C,MATCH(C119,Chiffrage!$B:$B,0)),"")</f>
        <v/>
      </c>
      <c r="E119" s="81"/>
      <c r="F119" s="30"/>
    </row>
    <row r="120" customFormat="false" ht="15" hidden="false" customHeight="true" outlineLevel="0" collapsed="false">
      <c r="A120" s="80"/>
      <c r="B120" s="30"/>
      <c r="C120" s="30"/>
      <c r="D120" s="12" t="str">
        <f aca="false">IFERROR(INDEX(Chiffrage!$C:$C,MATCH(C120,Chiffrage!$B:$B,0)),"")</f>
        <v/>
      </c>
      <c r="E120" s="81"/>
      <c r="F120" s="30"/>
    </row>
    <row r="121" customFormat="false" ht="15" hidden="false" customHeight="true" outlineLevel="0" collapsed="false">
      <c r="A121" s="80"/>
      <c r="B121" s="30"/>
      <c r="C121" s="30"/>
      <c r="D121" s="12" t="str">
        <f aca="false">IFERROR(INDEX(Chiffrage!$C:$C,MATCH(C121,Chiffrage!$B:$B,0)),"")</f>
        <v/>
      </c>
      <c r="E121" s="81"/>
      <c r="F121" s="30"/>
    </row>
    <row r="122" customFormat="false" ht="15" hidden="false" customHeight="true" outlineLevel="0" collapsed="false">
      <c r="A122" s="80"/>
      <c r="B122" s="30"/>
      <c r="C122" s="30"/>
      <c r="D122" s="12" t="str">
        <f aca="false">IFERROR(INDEX(Chiffrage!$C:$C,MATCH(C122,Chiffrage!$B:$B,0)),"")</f>
        <v/>
      </c>
      <c r="E122" s="81"/>
      <c r="F122" s="30"/>
    </row>
    <row r="123" customFormat="false" ht="15" hidden="false" customHeight="true" outlineLevel="0" collapsed="false">
      <c r="A123" s="80"/>
      <c r="B123" s="30"/>
      <c r="C123" s="30"/>
      <c r="D123" s="12" t="str">
        <f aca="false">IFERROR(INDEX(Chiffrage!$C:$C,MATCH(C123,Chiffrage!$B:$B,0)),"")</f>
        <v/>
      </c>
      <c r="E123" s="81"/>
      <c r="F123" s="30"/>
    </row>
    <row r="124" customFormat="false" ht="15" hidden="false" customHeight="true" outlineLevel="0" collapsed="false">
      <c r="A124" s="80"/>
      <c r="B124" s="30"/>
      <c r="C124" s="30"/>
      <c r="D124" s="12" t="str">
        <f aca="false">IFERROR(INDEX(Chiffrage!$C:$C,MATCH(C124,Chiffrage!$B:$B,0)),"")</f>
        <v/>
      </c>
      <c r="E124" s="81"/>
      <c r="F124" s="30"/>
    </row>
    <row r="125" customFormat="false" ht="15" hidden="false" customHeight="true" outlineLevel="0" collapsed="false">
      <c r="A125" s="80"/>
      <c r="B125" s="30"/>
      <c r="C125" s="30"/>
      <c r="D125" s="12" t="str">
        <f aca="false">IFERROR(INDEX(Chiffrage!$C:$C,MATCH(C125,Chiffrage!$B:$B,0)),"")</f>
        <v/>
      </c>
      <c r="E125" s="81"/>
      <c r="F125" s="30"/>
    </row>
    <row r="126" customFormat="false" ht="15" hidden="false" customHeight="true" outlineLevel="0" collapsed="false">
      <c r="A126" s="80"/>
      <c r="B126" s="30"/>
      <c r="C126" s="30"/>
      <c r="D126" s="12" t="str">
        <f aca="false">IFERROR(INDEX(Chiffrage!$C:$C,MATCH(C126,Chiffrage!$B:$B,0)),"")</f>
        <v/>
      </c>
      <c r="E126" s="81"/>
      <c r="F126" s="30"/>
    </row>
    <row r="127" customFormat="false" ht="15" hidden="false" customHeight="true" outlineLevel="0" collapsed="false">
      <c r="A127" s="80"/>
      <c r="B127" s="30"/>
      <c r="C127" s="30"/>
      <c r="D127" s="12" t="str">
        <f aca="false">IFERROR(INDEX(Chiffrage!$C:$C,MATCH(C127,Chiffrage!$B:$B,0)),"")</f>
        <v/>
      </c>
      <c r="E127" s="81"/>
      <c r="F127" s="30"/>
    </row>
    <row r="128" customFormat="false" ht="15" hidden="false" customHeight="true" outlineLevel="0" collapsed="false">
      <c r="A128" s="80"/>
      <c r="B128" s="30"/>
      <c r="C128" s="30"/>
      <c r="D128" s="12" t="str">
        <f aca="false">IFERROR(INDEX(Chiffrage!$C:$C,MATCH(C128,Chiffrage!$B:$B,0)),"")</f>
        <v/>
      </c>
      <c r="E128" s="81"/>
      <c r="F128" s="30"/>
    </row>
    <row r="129" customFormat="false" ht="15" hidden="false" customHeight="true" outlineLevel="0" collapsed="false">
      <c r="A129" s="80"/>
      <c r="B129" s="30"/>
      <c r="C129" s="30"/>
      <c r="D129" s="12" t="str">
        <f aca="false">IFERROR(INDEX(Chiffrage!$C:$C,MATCH(C129,Chiffrage!$B:$B,0)),"")</f>
        <v/>
      </c>
      <c r="E129" s="81"/>
      <c r="F129" s="30"/>
    </row>
    <row r="130" customFormat="false" ht="15" hidden="false" customHeight="true" outlineLevel="0" collapsed="false">
      <c r="A130" s="80"/>
      <c r="B130" s="30"/>
      <c r="C130" s="30"/>
      <c r="D130" s="12" t="str">
        <f aca="false">IFERROR(INDEX(Chiffrage!$C:$C,MATCH(C130,Chiffrage!$B:$B,0)),"")</f>
        <v/>
      </c>
      <c r="E130" s="81"/>
      <c r="F130" s="30"/>
    </row>
    <row r="131" customFormat="false" ht="15" hidden="false" customHeight="true" outlineLevel="0" collapsed="false">
      <c r="A131" s="80"/>
      <c r="B131" s="30"/>
      <c r="C131" s="30"/>
      <c r="D131" s="12" t="str">
        <f aca="false">IFERROR(INDEX(Chiffrage!$C:$C,MATCH(C131,Chiffrage!$B:$B,0)),"")</f>
        <v/>
      </c>
      <c r="E131" s="81"/>
      <c r="F131" s="30"/>
    </row>
    <row r="132" customFormat="false" ht="15" hidden="false" customHeight="true" outlineLevel="0" collapsed="false">
      <c r="A132" s="80"/>
      <c r="B132" s="30"/>
      <c r="C132" s="30"/>
      <c r="D132" s="12" t="str">
        <f aca="false">IFERROR(INDEX(Chiffrage!$C:$C,MATCH(C132,Chiffrage!$B:$B,0)),"")</f>
        <v/>
      </c>
      <c r="E132" s="81"/>
      <c r="F132" s="30"/>
    </row>
    <row r="133" customFormat="false" ht="15" hidden="false" customHeight="true" outlineLevel="0" collapsed="false">
      <c r="A133" s="80"/>
      <c r="B133" s="30"/>
      <c r="C133" s="30"/>
      <c r="D133" s="12" t="str">
        <f aca="false">IFERROR(INDEX(Chiffrage!$C:$C,MATCH(C133,Chiffrage!$B:$B,0)),"")</f>
        <v/>
      </c>
      <c r="E133" s="81"/>
      <c r="F133" s="30"/>
    </row>
    <row r="134" customFormat="false" ht="15" hidden="false" customHeight="true" outlineLevel="0" collapsed="false">
      <c r="A134" s="80"/>
      <c r="B134" s="30"/>
      <c r="C134" s="30"/>
      <c r="D134" s="12" t="str">
        <f aca="false">IFERROR(INDEX(Chiffrage!$C:$C,MATCH(C134,Chiffrage!$B:$B,0)),"")</f>
        <v/>
      </c>
      <c r="E134" s="81"/>
      <c r="F134" s="30"/>
    </row>
    <row r="135" customFormat="false" ht="15" hidden="false" customHeight="true" outlineLevel="0" collapsed="false">
      <c r="A135" s="80"/>
      <c r="B135" s="30"/>
      <c r="C135" s="30"/>
      <c r="D135" s="12" t="str">
        <f aca="false">IFERROR(INDEX(Chiffrage!$C:$C,MATCH(C135,Chiffrage!$B:$B,0)),"")</f>
        <v/>
      </c>
      <c r="E135" s="81"/>
      <c r="F135" s="30"/>
    </row>
    <row r="136" customFormat="false" ht="15" hidden="false" customHeight="true" outlineLevel="0" collapsed="false">
      <c r="A136" s="80"/>
      <c r="B136" s="30"/>
      <c r="C136" s="30"/>
      <c r="D136" s="12" t="str">
        <f aca="false">IFERROR(INDEX(Chiffrage!$C:$C,MATCH(C136,Chiffrage!$B:$B,0)),"")</f>
        <v/>
      </c>
      <c r="E136" s="81"/>
      <c r="F136" s="30"/>
    </row>
    <row r="137" customFormat="false" ht="15" hidden="false" customHeight="true" outlineLevel="0" collapsed="false">
      <c r="A137" s="80"/>
      <c r="B137" s="30"/>
      <c r="C137" s="30"/>
      <c r="D137" s="12" t="str">
        <f aca="false">IFERROR(INDEX(Chiffrage!$C:$C,MATCH(C137,Chiffrage!$B:$B,0)),"")</f>
        <v/>
      </c>
      <c r="E137" s="81"/>
      <c r="F137" s="30"/>
    </row>
    <row r="138" customFormat="false" ht="15" hidden="false" customHeight="true" outlineLevel="0" collapsed="false">
      <c r="A138" s="80"/>
      <c r="B138" s="30"/>
      <c r="C138" s="30"/>
      <c r="D138" s="12" t="str">
        <f aca="false">IFERROR(INDEX(Chiffrage!$C:$C,MATCH(C138,Chiffrage!$B:$B,0)),"")</f>
        <v/>
      </c>
      <c r="E138" s="81"/>
      <c r="F138" s="30"/>
    </row>
    <row r="139" customFormat="false" ht="15" hidden="false" customHeight="true" outlineLevel="0" collapsed="false">
      <c r="A139" s="80"/>
      <c r="B139" s="30"/>
      <c r="C139" s="30"/>
      <c r="D139" s="12" t="str">
        <f aca="false">IFERROR(INDEX(Chiffrage!$C:$C,MATCH(C139,Chiffrage!$B:$B,0)),"")</f>
        <v/>
      </c>
      <c r="E139" s="81"/>
      <c r="F139" s="30"/>
    </row>
    <row r="140" customFormat="false" ht="15" hidden="false" customHeight="true" outlineLevel="0" collapsed="false">
      <c r="A140" s="80"/>
      <c r="B140" s="30"/>
      <c r="C140" s="30"/>
      <c r="D140" s="12" t="str">
        <f aca="false">IFERROR(INDEX(Chiffrage!$C:$C,MATCH(C140,Chiffrage!$B:$B,0)),"")</f>
        <v/>
      </c>
      <c r="E140" s="81"/>
      <c r="F140" s="30"/>
    </row>
    <row r="141" customFormat="false" ht="15" hidden="false" customHeight="true" outlineLevel="0" collapsed="false">
      <c r="A141" s="80"/>
      <c r="B141" s="30"/>
      <c r="C141" s="30"/>
      <c r="D141" s="12" t="str">
        <f aca="false">IFERROR(INDEX(Chiffrage!$C:$C,MATCH(C141,Chiffrage!$B:$B,0)),"")</f>
        <v/>
      </c>
      <c r="E141" s="81"/>
      <c r="F141" s="30"/>
    </row>
    <row r="142" customFormat="false" ht="15" hidden="false" customHeight="true" outlineLevel="0" collapsed="false">
      <c r="A142" s="80"/>
      <c r="B142" s="30"/>
      <c r="C142" s="30"/>
      <c r="D142" s="12" t="str">
        <f aca="false">IFERROR(INDEX(Chiffrage!$C:$C,MATCH(C142,Chiffrage!$B:$B,0)),"")</f>
        <v/>
      </c>
      <c r="E142" s="81"/>
      <c r="F142" s="30"/>
    </row>
    <row r="143" customFormat="false" ht="15" hidden="false" customHeight="true" outlineLevel="0" collapsed="false">
      <c r="A143" s="80"/>
      <c r="B143" s="30"/>
      <c r="C143" s="30"/>
      <c r="D143" s="12" t="str">
        <f aca="false">IFERROR(INDEX(Chiffrage!$C:$C,MATCH(C143,Chiffrage!$B:$B,0)),"")</f>
        <v/>
      </c>
      <c r="E143" s="81"/>
      <c r="F143" s="30"/>
    </row>
    <row r="144" customFormat="false" ht="15" hidden="false" customHeight="true" outlineLevel="0" collapsed="false">
      <c r="A144" s="80"/>
      <c r="B144" s="30"/>
      <c r="C144" s="30"/>
      <c r="D144" s="12" t="str">
        <f aca="false">IFERROR(INDEX(Chiffrage!$C:$C,MATCH(C144,Chiffrage!$B:$B,0)),"")</f>
        <v/>
      </c>
      <c r="E144" s="81"/>
      <c r="F144" s="30"/>
    </row>
    <row r="145" customFormat="false" ht="15" hidden="false" customHeight="true" outlineLevel="0" collapsed="false">
      <c r="A145" s="80"/>
      <c r="B145" s="30"/>
      <c r="C145" s="30"/>
      <c r="D145" s="12" t="str">
        <f aca="false">IFERROR(INDEX(Chiffrage!$C:$C,MATCH(C145,Chiffrage!$B:$B,0)),"")</f>
        <v/>
      </c>
      <c r="E145" s="81"/>
      <c r="F145" s="30"/>
    </row>
    <row r="146" customFormat="false" ht="15" hidden="false" customHeight="true" outlineLevel="0" collapsed="false">
      <c r="A146" s="80"/>
      <c r="B146" s="30"/>
      <c r="C146" s="30"/>
      <c r="D146" s="12" t="str">
        <f aca="false">IFERROR(INDEX(Chiffrage!$C:$C,MATCH(C146,Chiffrage!$B:$B,0)),"")</f>
        <v/>
      </c>
      <c r="E146" s="81"/>
      <c r="F146" s="30"/>
    </row>
    <row r="147" customFormat="false" ht="15" hidden="false" customHeight="true" outlineLevel="0" collapsed="false">
      <c r="A147" s="80"/>
      <c r="B147" s="30"/>
      <c r="C147" s="30"/>
      <c r="D147" s="12" t="str">
        <f aca="false">IFERROR(INDEX(Chiffrage!$C:$C,MATCH(C147,Chiffrage!$B:$B,0)),"")</f>
        <v/>
      </c>
      <c r="E147" s="81"/>
      <c r="F147" s="30"/>
    </row>
    <row r="148" customFormat="false" ht="15" hidden="false" customHeight="true" outlineLevel="0" collapsed="false">
      <c r="A148" s="80"/>
      <c r="B148" s="30"/>
      <c r="C148" s="30"/>
      <c r="D148" s="12" t="str">
        <f aca="false">IFERROR(INDEX(Chiffrage!$C:$C,MATCH(C148,Chiffrage!$B:$B,0)),"")</f>
        <v/>
      </c>
      <c r="E148" s="81"/>
      <c r="F148" s="30"/>
    </row>
    <row r="149" customFormat="false" ht="15" hidden="false" customHeight="true" outlineLevel="0" collapsed="false">
      <c r="A149" s="80"/>
      <c r="B149" s="30"/>
      <c r="C149" s="30"/>
      <c r="D149" s="12" t="str">
        <f aca="false">IFERROR(INDEX(Chiffrage!$C:$C,MATCH(C149,Chiffrage!$B:$B,0)),"")</f>
        <v/>
      </c>
      <c r="E149" s="81"/>
      <c r="F149" s="30"/>
    </row>
    <row r="150" customFormat="false" ht="15" hidden="false" customHeight="true" outlineLevel="0" collapsed="false">
      <c r="A150" s="80"/>
      <c r="B150" s="30"/>
      <c r="C150" s="30"/>
      <c r="D150" s="12" t="str">
        <f aca="false">IFERROR(INDEX(Chiffrage!$C:$C,MATCH(C150,Chiffrage!$B:$B,0)),"")</f>
        <v/>
      </c>
      <c r="E150" s="81"/>
      <c r="F150" s="30"/>
    </row>
    <row r="151" customFormat="false" ht="15" hidden="false" customHeight="true" outlineLevel="0" collapsed="false">
      <c r="A151" s="80"/>
      <c r="B151" s="30"/>
      <c r="C151" s="30"/>
      <c r="D151" s="12" t="str">
        <f aca="false">IFERROR(INDEX(Chiffrage!$C:$C,MATCH(C151,Chiffrage!$B:$B,0)),"")</f>
        <v/>
      </c>
      <c r="E151" s="81"/>
      <c r="F151" s="30"/>
    </row>
    <row r="152" customFormat="false" ht="15" hidden="false" customHeight="true" outlineLevel="0" collapsed="false">
      <c r="A152" s="80"/>
      <c r="B152" s="30"/>
      <c r="C152" s="30"/>
      <c r="D152" s="12" t="str">
        <f aca="false">IFERROR(INDEX(Chiffrage!$C:$C,MATCH(C152,Chiffrage!$B:$B,0)),"")</f>
        <v/>
      </c>
      <c r="E152" s="81"/>
      <c r="F152" s="30"/>
    </row>
    <row r="153" customFormat="false" ht="15" hidden="false" customHeight="true" outlineLevel="0" collapsed="false">
      <c r="A153" s="80"/>
      <c r="B153" s="30"/>
      <c r="C153" s="30"/>
      <c r="D153" s="12" t="str">
        <f aca="false">IFERROR(INDEX(Chiffrage!$C:$C,MATCH(C153,Chiffrage!$B:$B,0)),"")</f>
        <v/>
      </c>
      <c r="E153" s="81"/>
      <c r="F153" s="30"/>
    </row>
    <row r="154" customFormat="false" ht="15" hidden="false" customHeight="true" outlineLevel="0" collapsed="false">
      <c r="A154" s="80"/>
      <c r="B154" s="30"/>
      <c r="C154" s="30"/>
      <c r="D154" s="12" t="str">
        <f aca="false">IFERROR(INDEX(Chiffrage!$C:$C,MATCH(C154,Chiffrage!$B:$B,0)),"")</f>
        <v/>
      </c>
      <c r="E154" s="81"/>
      <c r="F154" s="30"/>
    </row>
    <row r="155" customFormat="false" ht="15" hidden="false" customHeight="true" outlineLevel="0" collapsed="false">
      <c r="A155" s="80"/>
      <c r="B155" s="30"/>
      <c r="C155" s="30"/>
      <c r="D155" s="12" t="str">
        <f aca="false">IFERROR(INDEX(Chiffrage!$C:$C,MATCH(C155,Chiffrage!$B:$B,0)),"")</f>
        <v/>
      </c>
      <c r="E155" s="81"/>
      <c r="F155" s="30"/>
    </row>
    <row r="156" customFormat="false" ht="15" hidden="false" customHeight="true" outlineLevel="0" collapsed="false">
      <c r="A156" s="80"/>
      <c r="B156" s="30"/>
      <c r="C156" s="30"/>
      <c r="D156" s="12" t="str">
        <f aca="false">IFERROR(INDEX(Chiffrage!$C:$C,MATCH(C156,Chiffrage!$B:$B,0)),"")</f>
        <v/>
      </c>
      <c r="E156" s="81"/>
      <c r="F156" s="30"/>
    </row>
    <row r="157" customFormat="false" ht="15" hidden="false" customHeight="true" outlineLevel="0" collapsed="false">
      <c r="A157" s="80"/>
      <c r="B157" s="30"/>
      <c r="C157" s="30"/>
      <c r="D157" s="12" t="str">
        <f aca="false">IFERROR(INDEX(Chiffrage!$C:$C,MATCH(C157,Chiffrage!$B:$B,0)),"")</f>
        <v/>
      </c>
      <c r="E157" s="81"/>
      <c r="F157" s="30"/>
    </row>
    <row r="158" customFormat="false" ht="15" hidden="false" customHeight="true" outlineLevel="0" collapsed="false">
      <c r="A158" s="80"/>
      <c r="B158" s="30"/>
      <c r="C158" s="30"/>
      <c r="D158" s="12" t="str">
        <f aca="false">IFERROR(INDEX(Chiffrage!$C:$C,MATCH(C158,Chiffrage!$B:$B,0)),"")</f>
        <v/>
      </c>
      <c r="E158" s="81"/>
      <c r="F158" s="30"/>
    </row>
    <row r="159" customFormat="false" ht="15" hidden="false" customHeight="true" outlineLevel="0" collapsed="false">
      <c r="A159" s="80"/>
      <c r="B159" s="30"/>
      <c r="C159" s="30"/>
      <c r="D159" s="12" t="str">
        <f aca="false">IFERROR(INDEX(Chiffrage!$C:$C,MATCH(C159,Chiffrage!$B:$B,0)),"")</f>
        <v/>
      </c>
      <c r="E159" s="81"/>
      <c r="F159" s="30"/>
    </row>
    <row r="160" customFormat="false" ht="15" hidden="false" customHeight="true" outlineLevel="0" collapsed="false">
      <c r="A160" s="80"/>
      <c r="B160" s="30"/>
      <c r="C160" s="30"/>
      <c r="D160" s="12" t="str">
        <f aca="false">IFERROR(INDEX(Chiffrage!$C:$C,MATCH(C160,Chiffrage!$B:$B,0)),"")</f>
        <v/>
      </c>
      <c r="E160" s="81"/>
      <c r="F160" s="30"/>
    </row>
    <row r="161" customFormat="false" ht="15" hidden="false" customHeight="true" outlineLevel="0" collapsed="false">
      <c r="A161" s="80"/>
      <c r="B161" s="30"/>
      <c r="C161" s="30"/>
      <c r="D161" s="12" t="str">
        <f aca="false">IFERROR(INDEX(Chiffrage!$C:$C,MATCH(C161,Chiffrage!$B:$B,0)),"")</f>
        <v/>
      </c>
      <c r="E161" s="81"/>
      <c r="F161" s="30"/>
    </row>
    <row r="162" customFormat="false" ht="15" hidden="false" customHeight="true" outlineLevel="0" collapsed="false">
      <c r="A162" s="80"/>
      <c r="B162" s="30"/>
      <c r="C162" s="30"/>
      <c r="D162" s="12" t="str">
        <f aca="false">IFERROR(INDEX(Chiffrage!$C:$C,MATCH(C162,Chiffrage!$B:$B,0)),"")</f>
        <v/>
      </c>
      <c r="E162" s="81"/>
      <c r="F162" s="30"/>
    </row>
    <row r="163" customFormat="false" ht="15" hidden="false" customHeight="true" outlineLevel="0" collapsed="false">
      <c r="A163" s="80"/>
      <c r="B163" s="30"/>
      <c r="C163" s="30"/>
      <c r="D163" s="12" t="str">
        <f aca="false">IFERROR(INDEX(Chiffrage!$C:$C,MATCH(C163,Chiffrage!$B:$B,0)),"")</f>
        <v/>
      </c>
      <c r="E163" s="81"/>
      <c r="F163" s="30"/>
    </row>
    <row r="164" customFormat="false" ht="15" hidden="false" customHeight="true" outlineLevel="0" collapsed="false">
      <c r="A164" s="80"/>
      <c r="B164" s="30"/>
      <c r="C164" s="30"/>
      <c r="D164" s="12" t="str">
        <f aca="false">IFERROR(INDEX(Chiffrage!$C:$C,MATCH(C164,Chiffrage!$B:$B,0)),"")</f>
        <v/>
      </c>
      <c r="E164" s="81"/>
      <c r="F164" s="30"/>
    </row>
    <row r="165" customFormat="false" ht="15" hidden="false" customHeight="true" outlineLevel="0" collapsed="false">
      <c r="A165" s="80"/>
      <c r="B165" s="30"/>
      <c r="C165" s="30"/>
      <c r="D165" s="12" t="str">
        <f aca="false">IFERROR(INDEX(Chiffrage!$C:$C,MATCH(C165,Chiffrage!$B:$B,0)),"")</f>
        <v/>
      </c>
      <c r="E165" s="81"/>
      <c r="F165" s="30"/>
    </row>
    <row r="166" customFormat="false" ht="15" hidden="false" customHeight="true" outlineLevel="0" collapsed="false">
      <c r="A166" s="80"/>
      <c r="B166" s="30"/>
      <c r="C166" s="30"/>
      <c r="D166" s="12" t="str">
        <f aca="false">IFERROR(INDEX(Chiffrage!$C:$C,MATCH(C166,Chiffrage!$B:$B,0)),"")</f>
        <v/>
      </c>
      <c r="E166" s="81"/>
      <c r="F166" s="30"/>
    </row>
    <row r="167" customFormat="false" ht="15" hidden="false" customHeight="true" outlineLevel="0" collapsed="false">
      <c r="A167" s="80"/>
      <c r="B167" s="30"/>
      <c r="C167" s="30"/>
      <c r="D167" s="12" t="str">
        <f aca="false">IFERROR(INDEX(Chiffrage!$C:$C,MATCH(C167,Chiffrage!$B:$B,0)),"")</f>
        <v/>
      </c>
      <c r="E167" s="81"/>
      <c r="F167" s="30"/>
    </row>
    <row r="168" customFormat="false" ht="15" hidden="false" customHeight="true" outlineLevel="0" collapsed="false">
      <c r="A168" s="80"/>
      <c r="B168" s="30"/>
      <c r="C168" s="30"/>
      <c r="D168" s="12" t="str">
        <f aca="false">IFERROR(INDEX(Chiffrage!$C:$C,MATCH(C168,Chiffrage!$B:$B,0)),"")</f>
        <v/>
      </c>
      <c r="E168" s="81"/>
      <c r="F168" s="30"/>
    </row>
    <row r="169" customFormat="false" ht="15" hidden="false" customHeight="true" outlineLevel="0" collapsed="false">
      <c r="A169" s="80"/>
      <c r="B169" s="30"/>
      <c r="C169" s="30"/>
      <c r="D169" s="12" t="str">
        <f aca="false">IFERROR(INDEX(Chiffrage!$C:$C,MATCH(C169,Chiffrage!$B:$B,0)),"")</f>
        <v/>
      </c>
      <c r="E169" s="81"/>
      <c r="F169" s="30"/>
    </row>
    <row r="170" customFormat="false" ht="15" hidden="false" customHeight="true" outlineLevel="0" collapsed="false">
      <c r="A170" s="80"/>
      <c r="B170" s="30"/>
      <c r="C170" s="30"/>
      <c r="D170" s="12" t="str">
        <f aca="false">IFERROR(INDEX(Chiffrage!$C:$C,MATCH(C170,Chiffrage!$B:$B,0)),"")</f>
        <v/>
      </c>
      <c r="E170" s="81"/>
      <c r="F170" s="30"/>
    </row>
    <row r="171" customFormat="false" ht="15" hidden="false" customHeight="true" outlineLevel="0" collapsed="false">
      <c r="A171" s="80"/>
      <c r="B171" s="30"/>
      <c r="C171" s="30"/>
      <c r="D171" s="12" t="str">
        <f aca="false">IFERROR(INDEX(Chiffrage!$C:$C,MATCH(C171,Chiffrage!$B:$B,0)),"")</f>
        <v/>
      </c>
      <c r="E171" s="81"/>
      <c r="F171" s="30"/>
    </row>
    <row r="172" customFormat="false" ht="15" hidden="false" customHeight="true" outlineLevel="0" collapsed="false">
      <c r="A172" s="80"/>
      <c r="B172" s="30"/>
      <c r="C172" s="30"/>
      <c r="D172" s="12" t="str">
        <f aca="false">IFERROR(INDEX(Chiffrage!$C:$C,MATCH(C172,Chiffrage!$B:$B,0)),"")</f>
        <v/>
      </c>
      <c r="E172" s="81"/>
      <c r="F172" s="30"/>
    </row>
    <row r="173" customFormat="false" ht="15" hidden="false" customHeight="true" outlineLevel="0" collapsed="false">
      <c r="A173" s="80"/>
      <c r="B173" s="30"/>
      <c r="C173" s="30"/>
      <c r="D173" s="12" t="str">
        <f aca="false">IFERROR(INDEX(Chiffrage!$C:$C,MATCH(C173,Chiffrage!$B:$B,0)),"")</f>
        <v/>
      </c>
      <c r="E173" s="81"/>
      <c r="F173" s="30"/>
    </row>
    <row r="174" customFormat="false" ht="15" hidden="false" customHeight="true" outlineLevel="0" collapsed="false">
      <c r="A174" s="80"/>
      <c r="B174" s="30"/>
      <c r="C174" s="30"/>
      <c r="D174" s="12" t="str">
        <f aca="false">IFERROR(INDEX(Chiffrage!$C:$C,MATCH(C174,Chiffrage!$B:$B,0)),"")</f>
        <v/>
      </c>
      <c r="E174" s="81"/>
      <c r="F174" s="30"/>
    </row>
    <row r="175" customFormat="false" ht="15" hidden="false" customHeight="true" outlineLevel="0" collapsed="false">
      <c r="A175" s="80"/>
      <c r="B175" s="30"/>
      <c r="C175" s="30"/>
      <c r="D175" s="12" t="str">
        <f aca="false">IFERROR(INDEX(Chiffrage!$C:$C,MATCH(C175,Chiffrage!$B:$B,0)),"")</f>
        <v/>
      </c>
      <c r="E175" s="81"/>
      <c r="F175" s="30"/>
    </row>
    <row r="176" customFormat="false" ht="15" hidden="false" customHeight="true" outlineLevel="0" collapsed="false">
      <c r="A176" s="80"/>
      <c r="B176" s="30"/>
      <c r="C176" s="30"/>
      <c r="D176" s="12" t="str">
        <f aca="false">IFERROR(INDEX(Chiffrage!$C:$C,MATCH(C176,Chiffrage!$B:$B,0)),"")</f>
        <v/>
      </c>
      <c r="E176" s="81"/>
      <c r="F176" s="30"/>
    </row>
    <row r="177" customFormat="false" ht="15" hidden="false" customHeight="true" outlineLevel="0" collapsed="false">
      <c r="A177" s="80"/>
      <c r="B177" s="30"/>
      <c r="C177" s="30"/>
      <c r="D177" s="12" t="str">
        <f aca="false">IFERROR(INDEX(Chiffrage!$C:$C,MATCH(C177,Chiffrage!$B:$B,0)),"")</f>
        <v/>
      </c>
      <c r="E177" s="81"/>
      <c r="F177" s="30"/>
    </row>
    <row r="178" customFormat="false" ht="15" hidden="false" customHeight="true" outlineLevel="0" collapsed="false">
      <c r="A178" s="80"/>
      <c r="B178" s="30"/>
      <c r="C178" s="30"/>
      <c r="D178" s="12" t="str">
        <f aca="false">IFERROR(INDEX(Chiffrage!$C:$C,MATCH(C178,Chiffrage!$B:$B,0)),"")</f>
        <v/>
      </c>
      <c r="E178" s="81"/>
      <c r="F178" s="30"/>
    </row>
    <row r="179" customFormat="false" ht="15" hidden="false" customHeight="true" outlineLevel="0" collapsed="false">
      <c r="A179" s="80"/>
      <c r="B179" s="30"/>
      <c r="C179" s="30"/>
      <c r="D179" s="12" t="str">
        <f aca="false">IFERROR(INDEX(Chiffrage!$C:$C,MATCH(C179,Chiffrage!$B:$B,0)),"")</f>
        <v/>
      </c>
      <c r="E179" s="81"/>
      <c r="F179" s="30"/>
    </row>
    <row r="180" customFormat="false" ht="15" hidden="false" customHeight="true" outlineLevel="0" collapsed="false">
      <c r="A180" s="80"/>
      <c r="B180" s="30"/>
      <c r="C180" s="30"/>
      <c r="D180" s="12" t="str">
        <f aca="false">IFERROR(INDEX(Chiffrage!$C:$C,MATCH(C180,Chiffrage!$B:$B,0)),"")</f>
        <v/>
      </c>
      <c r="E180" s="81"/>
      <c r="F180" s="30"/>
    </row>
    <row r="181" customFormat="false" ht="15" hidden="false" customHeight="true" outlineLevel="0" collapsed="false">
      <c r="A181" s="80"/>
      <c r="B181" s="30"/>
      <c r="C181" s="30"/>
      <c r="D181" s="12" t="str">
        <f aca="false">IFERROR(INDEX(Chiffrage!$C:$C,MATCH(C181,Chiffrage!$B:$B,0)),"")</f>
        <v/>
      </c>
      <c r="E181" s="81"/>
      <c r="F181" s="30"/>
    </row>
    <row r="182" customFormat="false" ht="15" hidden="false" customHeight="true" outlineLevel="0" collapsed="false">
      <c r="A182" s="80"/>
      <c r="B182" s="30"/>
      <c r="C182" s="30"/>
      <c r="D182" s="12" t="str">
        <f aca="false">IFERROR(INDEX(Chiffrage!$C:$C,MATCH(C182,Chiffrage!$B:$B,0)),"")</f>
        <v/>
      </c>
      <c r="E182" s="81"/>
      <c r="F182" s="30"/>
    </row>
    <row r="183" customFormat="false" ht="15" hidden="false" customHeight="true" outlineLevel="0" collapsed="false">
      <c r="A183" s="80"/>
      <c r="B183" s="30"/>
      <c r="C183" s="30"/>
      <c r="D183" s="12" t="str">
        <f aca="false">IFERROR(INDEX(Chiffrage!$C:$C,MATCH(C183,Chiffrage!$B:$B,0)),"")</f>
        <v/>
      </c>
      <c r="E183" s="81"/>
      <c r="F183" s="30"/>
    </row>
    <row r="184" customFormat="false" ht="15" hidden="false" customHeight="true" outlineLevel="0" collapsed="false">
      <c r="A184" s="80"/>
      <c r="B184" s="30"/>
      <c r="C184" s="30"/>
      <c r="D184" s="12" t="str">
        <f aca="false">IFERROR(INDEX(Chiffrage!$C:$C,MATCH(C184,Chiffrage!$B:$B,0)),"")</f>
        <v/>
      </c>
      <c r="E184" s="81"/>
      <c r="F184" s="30"/>
    </row>
    <row r="185" customFormat="false" ht="15" hidden="false" customHeight="true" outlineLevel="0" collapsed="false">
      <c r="A185" s="80"/>
      <c r="B185" s="30"/>
      <c r="C185" s="30"/>
      <c r="D185" s="12" t="str">
        <f aca="false">IFERROR(INDEX(Chiffrage!$C:$C,MATCH(C185,Chiffrage!$B:$B,0)),"")</f>
        <v/>
      </c>
      <c r="E185" s="81"/>
      <c r="F185" s="30"/>
    </row>
    <row r="186" customFormat="false" ht="15" hidden="false" customHeight="true" outlineLevel="0" collapsed="false">
      <c r="A186" s="80"/>
      <c r="B186" s="30"/>
      <c r="C186" s="30"/>
      <c r="D186" s="12" t="str">
        <f aca="false">IFERROR(INDEX(Chiffrage!$C:$C,MATCH(C186,Chiffrage!$B:$B,0)),"")</f>
        <v/>
      </c>
      <c r="E186" s="81"/>
      <c r="F186" s="30"/>
    </row>
    <row r="187" customFormat="false" ht="15" hidden="false" customHeight="true" outlineLevel="0" collapsed="false">
      <c r="A187" s="80"/>
      <c r="B187" s="30"/>
      <c r="C187" s="30"/>
      <c r="D187" s="12" t="str">
        <f aca="false">IFERROR(INDEX(Chiffrage!$C:$C,MATCH(C187,Chiffrage!$B:$B,0)),"")</f>
        <v/>
      </c>
      <c r="E187" s="81"/>
      <c r="F187" s="30"/>
    </row>
    <row r="188" customFormat="false" ht="15" hidden="false" customHeight="true" outlineLevel="0" collapsed="false">
      <c r="A188" s="80"/>
      <c r="B188" s="30"/>
      <c r="C188" s="30"/>
      <c r="D188" s="12" t="str">
        <f aca="false">IFERROR(INDEX(Chiffrage!$C:$C,MATCH(C188,Chiffrage!$B:$B,0)),"")</f>
        <v/>
      </c>
      <c r="E188" s="81"/>
      <c r="F188" s="30"/>
    </row>
    <row r="189" customFormat="false" ht="15" hidden="false" customHeight="true" outlineLevel="0" collapsed="false">
      <c r="A189" s="80"/>
      <c r="B189" s="30"/>
      <c r="C189" s="30"/>
      <c r="D189" s="12" t="str">
        <f aca="false">IFERROR(INDEX(Chiffrage!$C:$C,MATCH(C189,Chiffrage!$B:$B,0)),"")</f>
        <v/>
      </c>
      <c r="E189" s="81"/>
      <c r="F189" s="30"/>
    </row>
    <row r="190" customFormat="false" ht="15" hidden="false" customHeight="true" outlineLevel="0" collapsed="false">
      <c r="A190" s="80"/>
      <c r="B190" s="30"/>
      <c r="C190" s="30"/>
      <c r="D190" s="12" t="str">
        <f aca="false">IFERROR(INDEX(Chiffrage!$C:$C,MATCH(C190,Chiffrage!$B:$B,0)),"")</f>
        <v/>
      </c>
      <c r="E190" s="81"/>
      <c r="F190" s="30"/>
    </row>
    <row r="191" customFormat="false" ht="15" hidden="false" customHeight="true" outlineLevel="0" collapsed="false">
      <c r="A191" s="80"/>
      <c r="B191" s="30"/>
      <c r="C191" s="30"/>
      <c r="D191" s="12" t="str">
        <f aca="false">IFERROR(INDEX(Chiffrage!$C:$C,MATCH(C191,Chiffrage!$B:$B,0)),"")</f>
        <v/>
      </c>
      <c r="E191" s="81"/>
      <c r="F191" s="30"/>
    </row>
    <row r="192" customFormat="false" ht="15" hidden="false" customHeight="true" outlineLevel="0" collapsed="false">
      <c r="A192" s="80"/>
      <c r="B192" s="30"/>
      <c r="C192" s="30"/>
      <c r="D192" s="12" t="str">
        <f aca="false">IFERROR(INDEX(Chiffrage!$C:$C,MATCH(C192,Chiffrage!$B:$B,0)),"")</f>
        <v/>
      </c>
      <c r="E192" s="81"/>
      <c r="F192" s="30"/>
    </row>
    <row r="193" customFormat="false" ht="15" hidden="false" customHeight="true" outlineLevel="0" collapsed="false">
      <c r="A193" s="80"/>
      <c r="B193" s="30"/>
      <c r="C193" s="30"/>
      <c r="D193" s="12" t="str">
        <f aca="false">IFERROR(INDEX(Chiffrage!$C:$C,MATCH(C193,Chiffrage!$B:$B,0)),"")</f>
        <v/>
      </c>
      <c r="E193" s="81"/>
      <c r="F193" s="30"/>
    </row>
    <row r="194" customFormat="false" ht="15" hidden="false" customHeight="true" outlineLevel="0" collapsed="false">
      <c r="A194" s="80"/>
      <c r="B194" s="30"/>
      <c r="C194" s="30"/>
      <c r="D194" s="12" t="str">
        <f aca="false">IFERROR(INDEX(Chiffrage!$C:$C,MATCH(C194,Chiffrage!$B:$B,0)),"")</f>
        <v/>
      </c>
      <c r="E194" s="81"/>
      <c r="F194" s="30"/>
    </row>
    <row r="195" customFormat="false" ht="15" hidden="false" customHeight="true" outlineLevel="0" collapsed="false">
      <c r="A195" s="80"/>
      <c r="B195" s="30"/>
      <c r="C195" s="30"/>
      <c r="D195" s="12" t="str">
        <f aca="false">IFERROR(INDEX(Chiffrage!$C:$C,MATCH(C195,Chiffrage!$B:$B,0)),"")</f>
        <v/>
      </c>
      <c r="E195" s="81"/>
      <c r="F195" s="30"/>
    </row>
    <row r="196" customFormat="false" ht="15" hidden="false" customHeight="true" outlineLevel="0" collapsed="false">
      <c r="A196" s="80"/>
      <c r="B196" s="30"/>
      <c r="C196" s="30"/>
      <c r="D196" s="12" t="str">
        <f aca="false">IFERROR(INDEX(Chiffrage!$C:$C,MATCH(C196,Chiffrage!$B:$B,0)),"")</f>
        <v/>
      </c>
      <c r="E196" s="81"/>
      <c r="F196" s="30"/>
    </row>
    <row r="197" customFormat="false" ht="15" hidden="false" customHeight="true" outlineLevel="0" collapsed="false">
      <c r="A197" s="80"/>
      <c r="B197" s="30"/>
      <c r="C197" s="30"/>
      <c r="D197" s="12" t="str">
        <f aca="false">IFERROR(INDEX(Chiffrage!$C:$C,MATCH(C197,Chiffrage!$B:$B,0)),"")</f>
        <v/>
      </c>
      <c r="E197" s="81"/>
      <c r="F197" s="30"/>
    </row>
    <row r="198" customFormat="false" ht="15" hidden="false" customHeight="true" outlineLevel="0" collapsed="false">
      <c r="A198" s="80"/>
      <c r="B198" s="30"/>
      <c r="C198" s="30"/>
      <c r="D198" s="12" t="str">
        <f aca="false">IFERROR(INDEX(Chiffrage!$C:$C,MATCH(C198,Chiffrage!$B:$B,0)),"")</f>
        <v/>
      </c>
      <c r="E198" s="81"/>
      <c r="F198" s="30"/>
    </row>
    <row r="199" customFormat="false" ht="15" hidden="false" customHeight="true" outlineLevel="0" collapsed="false">
      <c r="A199" s="80"/>
      <c r="B199" s="30"/>
      <c r="C199" s="30"/>
      <c r="D199" s="12" t="str">
        <f aca="false">IFERROR(INDEX(Chiffrage!$C:$C,MATCH(C199,Chiffrage!$B:$B,0)),"")</f>
        <v/>
      </c>
      <c r="E199" s="81"/>
      <c r="F199" s="30"/>
    </row>
    <row r="200" customFormat="false" ht="15" hidden="false" customHeight="true" outlineLevel="0" collapsed="false">
      <c r="A200" s="80"/>
      <c r="B200" s="30"/>
      <c r="C200" s="30"/>
      <c r="D200" s="12" t="str">
        <f aca="false">IFERROR(INDEX(Chiffrage!$C:$C,MATCH(C200,Chiffrage!$B:$B,0)),"")</f>
        <v/>
      </c>
      <c r="E200" s="81"/>
      <c r="F200" s="30"/>
    </row>
    <row r="201" customFormat="false" ht="15" hidden="false" customHeight="true" outlineLevel="0" collapsed="false">
      <c r="A201" s="80"/>
      <c r="B201" s="30"/>
      <c r="C201" s="30"/>
      <c r="D201" s="12" t="str">
        <f aca="false">IFERROR(INDEX(Chiffrage!$C:$C,MATCH(C201,Chiffrage!$B:$B,0)),"")</f>
        <v/>
      </c>
      <c r="E201" s="81"/>
      <c r="F201" s="30"/>
    </row>
    <row r="202" customFormat="false" ht="15" hidden="false" customHeight="true" outlineLevel="0" collapsed="false">
      <c r="A202" s="80"/>
      <c r="B202" s="30"/>
      <c r="C202" s="30"/>
      <c r="D202" s="12" t="str">
        <f aca="false">IFERROR(INDEX(Chiffrage!$C:$C,MATCH(C202,Chiffrage!$B:$B,0)),"")</f>
        <v/>
      </c>
      <c r="E202" s="81"/>
      <c r="F202" s="30"/>
    </row>
    <row r="203" customFormat="false" ht="15" hidden="false" customHeight="true" outlineLevel="0" collapsed="false">
      <c r="A203" s="80"/>
      <c r="B203" s="30"/>
      <c r="C203" s="30"/>
      <c r="D203" s="12" t="str">
        <f aca="false">IFERROR(INDEX(Chiffrage!$C:$C,MATCH(C203,Chiffrage!$B:$B,0)),"")</f>
        <v/>
      </c>
      <c r="E203" s="81"/>
      <c r="F203" s="30"/>
    </row>
    <row r="204" customFormat="false" ht="15" hidden="false" customHeight="true" outlineLevel="0" collapsed="false">
      <c r="A204" s="80"/>
      <c r="B204" s="30"/>
      <c r="C204" s="30"/>
      <c r="D204" s="12" t="str">
        <f aca="false">IFERROR(INDEX(Chiffrage!$C:$C,MATCH(C204,Chiffrage!$B:$B,0)),"")</f>
        <v/>
      </c>
      <c r="E204" s="81"/>
      <c r="F204" s="30"/>
    </row>
    <row r="205" customFormat="false" ht="15" hidden="false" customHeight="true" outlineLevel="0" collapsed="false">
      <c r="A205" s="80"/>
      <c r="B205" s="30"/>
      <c r="C205" s="30"/>
      <c r="D205" s="12" t="str">
        <f aca="false">IFERROR(INDEX(Chiffrage!$C:$C,MATCH(C205,Chiffrage!$B:$B,0)),"")</f>
        <v/>
      </c>
      <c r="E205" s="81"/>
      <c r="F205" s="30"/>
    </row>
    <row r="206" customFormat="false" ht="15" hidden="false" customHeight="true" outlineLevel="0" collapsed="false">
      <c r="A206" s="80"/>
      <c r="B206" s="30"/>
      <c r="C206" s="30"/>
      <c r="D206" s="12" t="str">
        <f aca="false">IFERROR(INDEX(Chiffrage!$C:$C,MATCH(C206,Chiffrage!$B:$B,0)),"")</f>
        <v/>
      </c>
      <c r="E206" s="81"/>
      <c r="F206" s="30"/>
    </row>
    <row r="207" customFormat="false" ht="15" hidden="false" customHeight="true" outlineLevel="0" collapsed="false">
      <c r="A207" s="80"/>
      <c r="B207" s="30"/>
      <c r="C207" s="30"/>
      <c r="D207" s="12" t="str">
        <f aca="false">IFERROR(INDEX(Chiffrage!$C:$C,MATCH(C207,Chiffrage!$B:$B,0)),"")</f>
        <v/>
      </c>
      <c r="E207" s="81"/>
      <c r="F207" s="30"/>
    </row>
    <row r="208" customFormat="false" ht="15" hidden="false" customHeight="true" outlineLevel="0" collapsed="false">
      <c r="A208" s="80"/>
      <c r="B208" s="30"/>
      <c r="C208" s="30"/>
      <c r="D208" s="12" t="str">
        <f aca="false">IFERROR(INDEX(Chiffrage!$C:$C,MATCH(C208,Chiffrage!$B:$B,0)),"")</f>
        <v/>
      </c>
      <c r="E208" s="81"/>
      <c r="F208" s="30"/>
    </row>
    <row r="209" customFormat="false" ht="15" hidden="false" customHeight="true" outlineLevel="0" collapsed="false">
      <c r="A209" s="80"/>
      <c r="B209" s="30"/>
      <c r="C209" s="30"/>
      <c r="D209" s="12" t="str">
        <f aca="false">IFERROR(INDEX(Chiffrage!$C:$C,MATCH(C209,Chiffrage!$B:$B,0)),"")</f>
        <v/>
      </c>
      <c r="E209" s="81"/>
      <c r="F209" s="30"/>
    </row>
    <row r="210" customFormat="false" ht="15" hidden="false" customHeight="true" outlineLevel="0" collapsed="false">
      <c r="A210" s="80"/>
      <c r="B210" s="30"/>
      <c r="C210" s="30"/>
      <c r="D210" s="12" t="str">
        <f aca="false">IFERROR(INDEX(Chiffrage!$C:$C,MATCH(C210,Chiffrage!$B:$B,0)),"")</f>
        <v/>
      </c>
      <c r="E210" s="81"/>
      <c r="F210" s="30"/>
    </row>
    <row r="211" customFormat="false" ht="15" hidden="false" customHeight="true" outlineLevel="0" collapsed="false">
      <c r="A211" s="80"/>
      <c r="B211" s="30"/>
      <c r="C211" s="30"/>
      <c r="D211" s="12" t="str">
        <f aca="false">IFERROR(INDEX(Chiffrage!$C:$C,MATCH(C211,Chiffrage!$B:$B,0)),"")</f>
        <v/>
      </c>
      <c r="E211" s="81"/>
      <c r="F211" s="30"/>
    </row>
    <row r="212" customFormat="false" ht="15" hidden="false" customHeight="true" outlineLevel="0" collapsed="false">
      <c r="A212" s="80"/>
      <c r="B212" s="30"/>
      <c r="C212" s="30"/>
      <c r="D212" s="12" t="str">
        <f aca="false">IFERROR(INDEX(Chiffrage!$C:$C,MATCH(C212,Chiffrage!$B:$B,0)),"")</f>
        <v/>
      </c>
      <c r="E212" s="81"/>
      <c r="F212" s="30"/>
    </row>
    <row r="213" customFormat="false" ht="15" hidden="false" customHeight="true" outlineLevel="0" collapsed="false">
      <c r="A213" s="80"/>
      <c r="B213" s="30"/>
      <c r="C213" s="30"/>
      <c r="D213" s="12" t="str">
        <f aca="false">IFERROR(INDEX(Chiffrage!$C:$C,MATCH(C213,Chiffrage!$B:$B,0)),"")</f>
        <v/>
      </c>
      <c r="E213" s="81"/>
      <c r="F213" s="30"/>
    </row>
    <row r="214" customFormat="false" ht="15" hidden="false" customHeight="true" outlineLevel="0" collapsed="false">
      <c r="A214" s="80"/>
      <c r="B214" s="30"/>
      <c r="C214" s="30"/>
      <c r="D214" s="12" t="str">
        <f aca="false">IFERROR(INDEX(Chiffrage!$C:$C,MATCH(C214,Chiffrage!$B:$B,0)),"")</f>
        <v/>
      </c>
      <c r="E214" s="81"/>
      <c r="F214" s="30"/>
    </row>
    <row r="215" customFormat="false" ht="15" hidden="false" customHeight="true" outlineLevel="0" collapsed="false">
      <c r="A215" s="80"/>
      <c r="B215" s="30"/>
      <c r="C215" s="30"/>
      <c r="D215" s="12" t="str">
        <f aca="false">IFERROR(INDEX(Chiffrage!$C:$C,MATCH(C215,Chiffrage!$B:$B,0)),"")</f>
        <v/>
      </c>
      <c r="E215" s="81"/>
      <c r="F215" s="30"/>
    </row>
    <row r="216" customFormat="false" ht="15" hidden="false" customHeight="true" outlineLevel="0" collapsed="false">
      <c r="A216" s="80"/>
      <c r="B216" s="30"/>
      <c r="C216" s="30"/>
      <c r="D216" s="12" t="str">
        <f aca="false">IFERROR(INDEX(Chiffrage!$C:$C,MATCH(C216,Chiffrage!$B:$B,0)),"")</f>
        <v/>
      </c>
      <c r="E216" s="81"/>
      <c r="F216" s="30"/>
    </row>
    <row r="217" customFormat="false" ht="15" hidden="false" customHeight="true" outlineLevel="0" collapsed="false">
      <c r="A217" s="80"/>
      <c r="B217" s="30"/>
      <c r="C217" s="30"/>
      <c r="D217" s="12" t="str">
        <f aca="false">IFERROR(INDEX(Chiffrage!$C:$C,MATCH(C217,Chiffrage!$B:$B,0)),"")</f>
        <v/>
      </c>
      <c r="E217" s="81"/>
      <c r="F217" s="30"/>
    </row>
    <row r="218" customFormat="false" ht="15" hidden="false" customHeight="true" outlineLevel="0" collapsed="false">
      <c r="A218" s="80"/>
      <c r="B218" s="30"/>
      <c r="C218" s="30"/>
      <c r="D218" s="12" t="str">
        <f aca="false">IFERROR(INDEX(Chiffrage!$C:$C,MATCH(C218,Chiffrage!$B:$B,0)),"")</f>
        <v/>
      </c>
      <c r="E218" s="81"/>
      <c r="F218" s="30"/>
    </row>
    <row r="219" customFormat="false" ht="15" hidden="false" customHeight="true" outlineLevel="0" collapsed="false">
      <c r="A219" s="80"/>
      <c r="B219" s="30"/>
      <c r="C219" s="30"/>
      <c r="D219" s="12" t="str">
        <f aca="false">IFERROR(INDEX(Chiffrage!$C:$C,MATCH(C219,Chiffrage!$B:$B,0)),"")</f>
        <v/>
      </c>
      <c r="E219" s="81"/>
      <c r="F219" s="30"/>
    </row>
    <row r="220" customFormat="false" ht="15" hidden="false" customHeight="true" outlineLevel="0" collapsed="false">
      <c r="A220" s="80"/>
      <c r="B220" s="30"/>
      <c r="C220" s="30"/>
      <c r="D220" s="12" t="str">
        <f aca="false">IFERROR(INDEX(Chiffrage!$C:$C,MATCH(C220,Chiffrage!$B:$B,0)),"")</f>
        <v/>
      </c>
      <c r="E220" s="81"/>
      <c r="F220" s="30"/>
    </row>
    <row r="221" customFormat="false" ht="15" hidden="false" customHeight="true" outlineLevel="0" collapsed="false">
      <c r="A221" s="80"/>
      <c r="B221" s="30"/>
      <c r="C221" s="30"/>
      <c r="D221" s="12" t="str">
        <f aca="false">IFERROR(INDEX(Chiffrage!$C:$C,MATCH(C221,Chiffrage!$B:$B,0)),"")</f>
        <v/>
      </c>
      <c r="E221" s="81"/>
      <c r="F221" s="30"/>
    </row>
    <row r="222" customFormat="false" ht="15" hidden="false" customHeight="true" outlineLevel="0" collapsed="false">
      <c r="A222" s="80"/>
      <c r="B222" s="30"/>
      <c r="C222" s="30"/>
      <c r="D222" s="12" t="str">
        <f aca="false">IFERROR(INDEX(Chiffrage!$C:$C,MATCH(C222,Chiffrage!$B:$B,0)),"")</f>
        <v/>
      </c>
      <c r="E222" s="81"/>
      <c r="F222" s="30"/>
    </row>
    <row r="223" customFormat="false" ht="15" hidden="false" customHeight="true" outlineLevel="0" collapsed="false">
      <c r="A223" s="80"/>
      <c r="B223" s="30"/>
      <c r="C223" s="30"/>
      <c r="D223" s="12" t="str">
        <f aca="false">IFERROR(INDEX(Chiffrage!$C:$C,MATCH(C223,Chiffrage!$B:$B,0)),"")</f>
        <v/>
      </c>
      <c r="E223" s="81"/>
      <c r="F223" s="30"/>
    </row>
    <row r="224" customFormat="false" ht="15" hidden="false" customHeight="true" outlineLevel="0" collapsed="false">
      <c r="A224" s="80"/>
      <c r="B224" s="30"/>
      <c r="C224" s="30"/>
      <c r="D224" s="12" t="str">
        <f aca="false">IFERROR(INDEX(Chiffrage!$C:$C,MATCH(C224,Chiffrage!$B:$B,0)),"")</f>
        <v/>
      </c>
      <c r="E224" s="81"/>
      <c r="F224" s="30"/>
    </row>
    <row r="225" customFormat="false" ht="15" hidden="false" customHeight="true" outlineLevel="0" collapsed="false">
      <c r="A225" s="80"/>
      <c r="B225" s="30"/>
      <c r="C225" s="30"/>
      <c r="D225" s="12" t="str">
        <f aca="false">IFERROR(INDEX(Chiffrage!$C:$C,MATCH(C225,Chiffrage!$B:$B,0)),"")</f>
        <v/>
      </c>
      <c r="E225" s="81"/>
      <c r="F225" s="30"/>
    </row>
    <row r="226" customFormat="false" ht="15" hidden="false" customHeight="true" outlineLevel="0" collapsed="false">
      <c r="A226" s="80"/>
      <c r="B226" s="30"/>
      <c r="C226" s="30"/>
      <c r="D226" s="12" t="str">
        <f aca="false">IFERROR(INDEX(Chiffrage!$C:$C,MATCH(C226,Chiffrage!$B:$B,0)),"")</f>
        <v/>
      </c>
      <c r="E226" s="81"/>
      <c r="F226" s="30"/>
    </row>
    <row r="227" customFormat="false" ht="15" hidden="false" customHeight="true" outlineLevel="0" collapsed="false">
      <c r="A227" s="80"/>
      <c r="B227" s="30"/>
      <c r="C227" s="30"/>
      <c r="D227" s="12" t="str">
        <f aca="false">IFERROR(INDEX(Chiffrage!$C:$C,MATCH(C227,Chiffrage!$B:$B,0)),"")</f>
        <v/>
      </c>
      <c r="E227" s="81"/>
      <c r="F227" s="30"/>
    </row>
    <row r="228" customFormat="false" ht="15" hidden="false" customHeight="true" outlineLevel="0" collapsed="false">
      <c r="A228" s="80"/>
      <c r="B228" s="30"/>
      <c r="C228" s="30"/>
      <c r="D228" s="12" t="str">
        <f aca="false">IFERROR(INDEX(Chiffrage!$C:$C,MATCH(C228,Chiffrage!$B:$B,0)),"")</f>
        <v/>
      </c>
      <c r="E228" s="81"/>
      <c r="F228" s="30"/>
    </row>
    <row r="229" customFormat="false" ht="15" hidden="false" customHeight="true" outlineLevel="0" collapsed="false">
      <c r="A229" s="80"/>
      <c r="B229" s="30"/>
      <c r="C229" s="30"/>
      <c r="D229" s="12" t="str">
        <f aca="false">IFERROR(INDEX(Chiffrage!$C:$C,MATCH(C229,Chiffrage!$B:$B,0)),"")</f>
        <v/>
      </c>
      <c r="E229" s="81"/>
      <c r="F229" s="30"/>
    </row>
    <row r="230" customFormat="false" ht="15" hidden="false" customHeight="true" outlineLevel="0" collapsed="false">
      <c r="A230" s="80"/>
      <c r="B230" s="30"/>
      <c r="C230" s="30"/>
      <c r="D230" s="12" t="str">
        <f aca="false">IFERROR(INDEX(Chiffrage!$C:$C,MATCH(C230,Chiffrage!$B:$B,0)),"")</f>
        <v/>
      </c>
      <c r="E230" s="81"/>
      <c r="F230" s="30"/>
    </row>
    <row r="231" customFormat="false" ht="15" hidden="false" customHeight="true" outlineLevel="0" collapsed="false">
      <c r="A231" s="80"/>
      <c r="B231" s="30"/>
      <c r="C231" s="30"/>
      <c r="D231" s="12" t="str">
        <f aca="false">IFERROR(INDEX(Chiffrage!$C:$C,MATCH(C231,Chiffrage!$B:$B,0)),"")</f>
        <v/>
      </c>
      <c r="E231" s="81"/>
      <c r="F231" s="30"/>
    </row>
    <row r="232" customFormat="false" ht="15" hidden="false" customHeight="true" outlineLevel="0" collapsed="false">
      <c r="A232" s="80"/>
      <c r="B232" s="30"/>
      <c r="C232" s="30"/>
      <c r="D232" s="12" t="str">
        <f aca="false">IFERROR(INDEX(Chiffrage!$C:$C,MATCH(C232,Chiffrage!$B:$B,0)),"")</f>
        <v/>
      </c>
      <c r="E232" s="81"/>
      <c r="F232" s="30"/>
    </row>
    <row r="233" customFormat="false" ht="15" hidden="false" customHeight="true" outlineLevel="0" collapsed="false">
      <c r="A233" s="80"/>
      <c r="B233" s="30"/>
      <c r="C233" s="30"/>
      <c r="D233" s="12" t="str">
        <f aca="false">IFERROR(INDEX(Chiffrage!$C:$C,MATCH(C233,Chiffrage!$B:$B,0)),"")</f>
        <v/>
      </c>
      <c r="E233" s="81"/>
      <c r="F233" s="30"/>
    </row>
    <row r="234" customFormat="false" ht="15" hidden="false" customHeight="true" outlineLevel="0" collapsed="false">
      <c r="A234" s="80"/>
      <c r="B234" s="30"/>
      <c r="C234" s="30"/>
      <c r="D234" s="12" t="str">
        <f aca="false">IFERROR(INDEX(Chiffrage!$C:$C,MATCH(C234,Chiffrage!$B:$B,0)),"")</f>
        <v/>
      </c>
      <c r="E234" s="81"/>
      <c r="F234" s="30"/>
    </row>
    <row r="235" customFormat="false" ht="15" hidden="false" customHeight="true" outlineLevel="0" collapsed="false">
      <c r="A235" s="80"/>
      <c r="B235" s="30"/>
      <c r="C235" s="30"/>
      <c r="D235" s="12" t="str">
        <f aca="false">IFERROR(INDEX(Chiffrage!$C:$C,MATCH(C235,Chiffrage!$B:$B,0)),"")</f>
        <v/>
      </c>
      <c r="E235" s="81"/>
      <c r="F235" s="30"/>
    </row>
    <row r="236" customFormat="false" ht="15" hidden="false" customHeight="true" outlineLevel="0" collapsed="false">
      <c r="A236" s="80"/>
      <c r="B236" s="30"/>
      <c r="C236" s="30"/>
      <c r="D236" s="12" t="str">
        <f aca="false">IFERROR(INDEX(Chiffrage!$C:$C,MATCH(C236,Chiffrage!$B:$B,0)),"")</f>
        <v/>
      </c>
      <c r="E236" s="81"/>
      <c r="F236" s="30"/>
    </row>
    <row r="237" customFormat="false" ht="15" hidden="false" customHeight="true" outlineLevel="0" collapsed="false">
      <c r="A237" s="80"/>
      <c r="B237" s="30"/>
      <c r="C237" s="30"/>
      <c r="D237" s="12" t="str">
        <f aca="false">IFERROR(INDEX(Chiffrage!$C:$C,MATCH(C237,Chiffrage!$B:$B,0)),"")</f>
        <v/>
      </c>
      <c r="E237" s="81"/>
      <c r="F237" s="30"/>
    </row>
    <row r="238" customFormat="false" ht="15" hidden="false" customHeight="true" outlineLevel="0" collapsed="false">
      <c r="A238" s="80"/>
      <c r="B238" s="30"/>
      <c r="C238" s="30"/>
      <c r="D238" s="12" t="str">
        <f aca="false">IFERROR(INDEX(Chiffrage!$C:$C,MATCH(C238,Chiffrage!$B:$B,0)),"")</f>
        <v/>
      </c>
      <c r="E238" s="81"/>
      <c r="F238" s="30"/>
    </row>
    <row r="239" customFormat="false" ht="15" hidden="false" customHeight="true" outlineLevel="0" collapsed="false">
      <c r="A239" s="80"/>
      <c r="B239" s="30"/>
      <c r="C239" s="30"/>
      <c r="D239" s="12" t="str">
        <f aca="false">IFERROR(INDEX(Chiffrage!$C:$C,MATCH(C239,Chiffrage!$B:$B,0)),"")</f>
        <v/>
      </c>
      <c r="E239" s="81"/>
      <c r="F239" s="30"/>
    </row>
    <row r="240" customFormat="false" ht="15" hidden="false" customHeight="true" outlineLevel="0" collapsed="false">
      <c r="A240" s="80"/>
      <c r="B240" s="30"/>
      <c r="C240" s="30"/>
      <c r="D240" s="12" t="str">
        <f aca="false">IFERROR(INDEX(Chiffrage!$C:$C,MATCH(C240,Chiffrage!$B:$B,0)),"")</f>
        <v/>
      </c>
      <c r="E240" s="81"/>
      <c r="F240" s="30"/>
    </row>
    <row r="241" customFormat="false" ht="15" hidden="false" customHeight="true" outlineLevel="0" collapsed="false">
      <c r="A241" s="80"/>
      <c r="B241" s="30"/>
      <c r="C241" s="30"/>
      <c r="D241" s="12" t="str">
        <f aca="false">IFERROR(INDEX(Chiffrage!$C:$C,MATCH(C241,Chiffrage!$B:$B,0)),"")</f>
        <v/>
      </c>
      <c r="E241" s="81"/>
      <c r="F241" s="30"/>
    </row>
    <row r="242" customFormat="false" ht="15" hidden="false" customHeight="true" outlineLevel="0" collapsed="false">
      <c r="A242" s="80"/>
      <c r="B242" s="30"/>
      <c r="C242" s="30"/>
      <c r="D242" s="12" t="str">
        <f aca="false">IFERROR(INDEX(Chiffrage!$C:$C,MATCH(C242,Chiffrage!$B:$B,0)),"")</f>
        <v/>
      </c>
      <c r="E242" s="81"/>
      <c r="F242" s="30"/>
    </row>
    <row r="243" customFormat="false" ht="15" hidden="false" customHeight="true" outlineLevel="0" collapsed="false">
      <c r="A243" s="80"/>
      <c r="B243" s="30"/>
      <c r="C243" s="30"/>
      <c r="D243" s="12" t="str">
        <f aca="false">IFERROR(INDEX(Chiffrage!$C:$C,MATCH(C243,Chiffrage!$B:$B,0)),"")</f>
        <v/>
      </c>
      <c r="E243" s="81"/>
      <c r="F243" s="30"/>
    </row>
    <row r="244" customFormat="false" ht="15" hidden="false" customHeight="true" outlineLevel="0" collapsed="false">
      <c r="A244" s="80"/>
      <c r="B244" s="30"/>
      <c r="C244" s="30"/>
      <c r="D244" s="12" t="str">
        <f aca="false">IFERROR(INDEX(Chiffrage!$C:$C,MATCH(C244,Chiffrage!$B:$B,0)),"")</f>
        <v/>
      </c>
      <c r="E244" s="81"/>
      <c r="F244" s="30"/>
    </row>
    <row r="245" customFormat="false" ht="15" hidden="false" customHeight="true" outlineLevel="0" collapsed="false">
      <c r="A245" s="80"/>
      <c r="B245" s="30"/>
      <c r="C245" s="30"/>
      <c r="D245" s="12" t="str">
        <f aca="false">IFERROR(INDEX(Chiffrage!$C:$C,MATCH(C245,Chiffrage!$B:$B,0)),"")</f>
        <v/>
      </c>
      <c r="E245" s="81"/>
      <c r="F245" s="30"/>
    </row>
    <row r="246" customFormat="false" ht="15" hidden="false" customHeight="true" outlineLevel="0" collapsed="false">
      <c r="A246" s="80"/>
      <c r="B246" s="30"/>
      <c r="C246" s="30"/>
      <c r="D246" s="12" t="str">
        <f aca="false">IFERROR(INDEX(Chiffrage!$C:$C,MATCH(C246,Chiffrage!$B:$B,0)),"")</f>
        <v/>
      </c>
      <c r="E246" s="81"/>
      <c r="F246" s="30"/>
    </row>
    <row r="247" customFormat="false" ht="15" hidden="false" customHeight="true" outlineLevel="0" collapsed="false">
      <c r="A247" s="80"/>
      <c r="B247" s="30"/>
      <c r="C247" s="30"/>
      <c r="D247" s="12" t="str">
        <f aca="false">IFERROR(INDEX(Chiffrage!$C:$C,MATCH(C247,Chiffrage!$B:$B,0)),"")</f>
        <v/>
      </c>
      <c r="E247" s="81"/>
      <c r="F247" s="30"/>
    </row>
    <row r="248" customFormat="false" ht="15" hidden="false" customHeight="true" outlineLevel="0" collapsed="false">
      <c r="A248" s="80"/>
      <c r="B248" s="30"/>
      <c r="C248" s="30"/>
      <c r="D248" s="12" t="str">
        <f aca="false">IFERROR(INDEX(Chiffrage!$C:$C,MATCH(C248,Chiffrage!$B:$B,0)),"")</f>
        <v/>
      </c>
      <c r="E248" s="81"/>
      <c r="F248" s="30"/>
    </row>
    <row r="249" customFormat="false" ht="15" hidden="false" customHeight="true" outlineLevel="0" collapsed="false">
      <c r="A249" s="80"/>
      <c r="B249" s="30"/>
      <c r="C249" s="30"/>
      <c r="D249" s="12" t="str">
        <f aca="false">IFERROR(INDEX(Chiffrage!$C:$C,MATCH(C249,Chiffrage!$B:$B,0)),"")</f>
        <v/>
      </c>
      <c r="E249" s="81"/>
      <c r="F249" s="30"/>
    </row>
    <row r="250" customFormat="false" ht="15" hidden="false" customHeight="true" outlineLevel="0" collapsed="false">
      <c r="A250" s="80"/>
      <c r="B250" s="30"/>
      <c r="C250" s="30"/>
      <c r="D250" s="12" t="str">
        <f aca="false">IFERROR(INDEX(Chiffrage!$C:$C,MATCH(C250,Chiffrage!$B:$B,0)),"")</f>
        <v/>
      </c>
      <c r="E250" s="81"/>
      <c r="F250" s="30"/>
    </row>
    <row r="251" customFormat="false" ht="15" hidden="false" customHeight="true" outlineLevel="0" collapsed="false">
      <c r="A251" s="80"/>
      <c r="B251" s="30"/>
      <c r="C251" s="30"/>
      <c r="D251" s="12" t="str">
        <f aca="false">IFERROR(INDEX(Chiffrage!$C:$C,MATCH(C251,Chiffrage!$B:$B,0)),"")</f>
        <v/>
      </c>
      <c r="E251" s="81"/>
      <c r="F251" s="30"/>
    </row>
    <row r="252" customFormat="false" ht="15" hidden="false" customHeight="true" outlineLevel="0" collapsed="false">
      <c r="A252" s="80"/>
      <c r="B252" s="30"/>
      <c r="C252" s="30"/>
      <c r="D252" s="12" t="str">
        <f aca="false">IFERROR(INDEX(Chiffrage!$C:$C,MATCH(C252,Chiffrage!$B:$B,0)),"")</f>
        <v/>
      </c>
      <c r="E252" s="81"/>
      <c r="F252" s="30"/>
    </row>
    <row r="253" customFormat="false" ht="15" hidden="false" customHeight="true" outlineLevel="0" collapsed="false">
      <c r="A253" s="80"/>
      <c r="B253" s="30"/>
      <c r="C253" s="30"/>
      <c r="D253" s="12" t="str">
        <f aca="false">IFERROR(INDEX(Chiffrage!$C:$C,MATCH(C253,Chiffrage!$B:$B,0)),"")</f>
        <v/>
      </c>
      <c r="E253" s="81"/>
      <c r="F253" s="30"/>
    </row>
    <row r="254" customFormat="false" ht="15" hidden="false" customHeight="true" outlineLevel="0" collapsed="false">
      <c r="A254" s="80"/>
      <c r="B254" s="30"/>
      <c r="C254" s="30"/>
      <c r="D254" s="12" t="str">
        <f aca="false">IFERROR(INDEX(Chiffrage!$C:$C,MATCH(C254,Chiffrage!$B:$B,0)),"")</f>
        <v/>
      </c>
      <c r="E254" s="81"/>
      <c r="F254" s="30"/>
    </row>
    <row r="255" customFormat="false" ht="15" hidden="false" customHeight="true" outlineLevel="0" collapsed="false">
      <c r="A255" s="80"/>
      <c r="B255" s="30"/>
      <c r="C255" s="30"/>
      <c r="D255" s="12" t="str">
        <f aca="false">IFERROR(INDEX(Chiffrage!$C:$C,MATCH(C255,Chiffrage!$B:$B,0)),"")</f>
        <v/>
      </c>
      <c r="E255" s="81"/>
      <c r="F255" s="30"/>
    </row>
    <row r="256" customFormat="false" ht="15" hidden="false" customHeight="true" outlineLevel="0" collapsed="false">
      <c r="A256" s="80"/>
      <c r="B256" s="30"/>
      <c r="C256" s="30"/>
      <c r="D256" s="12" t="str">
        <f aca="false">IFERROR(INDEX(Chiffrage!$C:$C,MATCH(C256,Chiffrage!$B:$B,0)),"")</f>
        <v/>
      </c>
      <c r="E256" s="81"/>
      <c r="F256" s="30"/>
    </row>
    <row r="257" customFormat="false" ht="15" hidden="false" customHeight="true" outlineLevel="0" collapsed="false">
      <c r="A257" s="80"/>
      <c r="B257" s="30"/>
      <c r="C257" s="30"/>
      <c r="D257" s="12" t="str">
        <f aca="false">IFERROR(INDEX(Chiffrage!$C:$C,MATCH(C257,Chiffrage!$B:$B,0)),"")</f>
        <v/>
      </c>
      <c r="E257" s="81"/>
      <c r="F257" s="30"/>
    </row>
    <row r="258" customFormat="false" ht="15" hidden="false" customHeight="true" outlineLevel="0" collapsed="false">
      <c r="A258" s="80"/>
      <c r="B258" s="30"/>
      <c r="C258" s="30"/>
      <c r="D258" s="12" t="str">
        <f aca="false">IFERROR(INDEX(Chiffrage!$C:$C,MATCH(C258,Chiffrage!$B:$B,0)),"")</f>
        <v/>
      </c>
      <c r="E258" s="81"/>
      <c r="F258" s="30"/>
    </row>
    <row r="259" customFormat="false" ht="15" hidden="false" customHeight="true" outlineLevel="0" collapsed="false">
      <c r="A259" s="80"/>
      <c r="B259" s="30"/>
      <c r="C259" s="30"/>
      <c r="D259" s="12" t="str">
        <f aca="false">IFERROR(INDEX(Chiffrage!$C:$C,MATCH(C259,Chiffrage!$B:$B,0)),"")</f>
        <v/>
      </c>
      <c r="E259" s="81"/>
      <c r="F259" s="30"/>
    </row>
    <row r="260" customFormat="false" ht="15" hidden="false" customHeight="true" outlineLevel="0" collapsed="false">
      <c r="A260" s="80"/>
      <c r="B260" s="30"/>
      <c r="C260" s="30"/>
      <c r="D260" s="12" t="str">
        <f aca="false">IFERROR(INDEX(Chiffrage!$C:$C,MATCH(C260,Chiffrage!$B:$B,0)),"")</f>
        <v/>
      </c>
      <c r="E260" s="81"/>
      <c r="F260" s="30"/>
    </row>
    <row r="261" customFormat="false" ht="15" hidden="false" customHeight="true" outlineLevel="0" collapsed="false">
      <c r="A261" s="80"/>
      <c r="B261" s="30"/>
      <c r="C261" s="30"/>
      <c r="D261" s="12" t="str">
        <f aca="false">IFERROR(INDEX(Chiffrage!$C:$C,MATCH(C261,Chiffrage!$B:$B,0)),"")</f>
        <v/>
      </c>
      <c r="E261" s="81"/>
      <c r="F261" s="30"/>
    </row>
    <row r="262" customFormat="false" ht="15" hidden="false" customHeight="true" outlineLevel="0" collapsed="false">
      <c r="A262" s="80"/>
      <c r="B262" s="30"/>
      <c r="C262" s="30"/>
      <c r="D262" s="12" t="str">
        <f aca="false">IFERROR(INDEX(Chiffrage!$C:$C,MATCH(C262,Chiffrage!$B:$B,0)),"")</f>
        <v/>
      </c>
      <c r="E262" s="81"/>
      <c r="F262" s="30"/>
    </row>
    <row r="263" customFormat="false" ht="15" hidden="false" customHeight="true" outlineLevel="0" collapsed="false">
      <c r="A263" s="80"/>
      <c r="B263" s="30"/>
      <c r="C263" s="30"/>
      <c r="D263" s="12" t="str">
        <f aca="false">IFERROR(INDEX(Chiffrage!$C:$C,MATCH(C263,Chiffrage!$B:$B,0)),"")</f>
        <v/>
      </c>
      <c r="E263" s="81"/>
      <c r="F263" s="30"/>
    </row>
    <row r="264" customFormat="false" ht="15" hidden="false" customHeight="true" outlineLevel="0" collapsed="false">
      <c r="A264" s="80"/>
      <c r="B264" s="30"/>
      <c r="C264" s="30"/>
      <c r="D264" s="12" t="str">
        <f aca="false">IFERROR(INDEX(Chiffrage!$C:$C,MATCH(C264,Chiffrage!$B:$B,0)),"")</f>
        <v/>
      </c>
      <c r="E264" s="81"/>
      <c r="F264" s="30"/>
    </row>
    <row r="265" customFormat="false" ht="15" hidden="false" customHeight="true" outlineLevel="0" collapsed="false">
      <c r="A265" s="80"/>
      <c r="B265" s="30"/>
      <c r="C265" s="30"/>
      <c r="D265" s="12" t="str">
        <f aca="false">IFERROR(INDEX(Chiffrage!$C:$C,MATCH(C265,Chiffrage!$B:$B,0)),"")</f>
        <v/>
      </c>
      <c r="E265" s="81"/>
      <c r="F265" s="30"/>
    </row>
    <row r="266" customFormat="false" ht="15" hidden="false" customHeight="true" outlineLevel="0" collapsed="false">
      <c r="A266" s="80"/>
      <c r="B266" s="30"/>
      <c r="C266" s="30"/>
      <c r="D266" s="12" t="str">
        <f aca="false">IFERROR(INDEX(Chiffrage!$C:$C,MATCH(C266,Chiffrage!$B:$B,0)),"")</f>
        <v/>
      </c>
      <c r="E266" s="81"/>
      <c r="F266" s="30"/>
    </row>
    <row r="267" customFormat="false" ht="15" hidden="false" customHeight="true" outlineLevel="0" collapsed="false">
      <c r="A267" s="80"/>
      <c r="B267" s="30"/>
      <c r="C267" s="30"/>
      <c r="D267" s="12" t="str">
        <f aca="false">IFERROR(INDEX(Chiffrage!$C:$C,MATCH(C267,Chiffrage!$B:$B,0)),"")</f>
        <v/>
      </c>
      <c r="E267" s="81"/>
      <c r="F267" s="30"/>
    </row>
    <row r="268" customFormat="false" ht="15" hidden="false" customHeight="true" outlineLevel="0" collapsed="false">
      <c r="A268" s="80"/>
      <c r="B268" s="30"/>
      <c r="C268" s="30"/>
      <c r="D268" s="12" t="str">
        <f aca="false">IFERROR(INDEX(Chiffrage!$C:$C,MATCH(C268,Chiffrage!$B:$B,0)),"")</f>
        <v/>
      </c>
      <c r="E268" s="81"/>
      <c r="F268" s="30"/>
    </row>
    <row r="269" customFormat="false" ht="15" hidden="false" customHeight="true" outlineLevel="0" collapsed="false">
      <c r="A269" s="80"/>
      <c r="B269" s="30"/>
      <c r="C269" s="30"/>
      <c r="D269" s="12" t="str">
        <f aca="false">IFERROR(INDEX(Chiffrage!$C:$C,MATCH(C269,Chiffrage!$B:$B,0)),"")</f>
        <v/>
      </c>
      <c r="E269" s="81"/>
      <c r="F269" s="30"/>
    </row>
    <row r="270" customFormat="false" ht="15" hidden="false" customHeight="true" outlineLevel="0" collapsed="false">
      <c r="A270" s="80"/>
      <c r="B270" s="30"/>
      <c r="C270" s="30"/>
      <c r="D270" s="12" t="str">
        <f aca="false">IFERROR(INDEX(Chiffrage!$C:$C,MATCH(C270,Chiffrage!$B:$B,0)),"")</f>
        <v/>
      </c>
      <c r="E270" s="81"/>
      <c r="F270" s="30"/>
    </row>
    <row r="271" customFormat="false" ht="15" hidden="false" customHeight="true" outlineLevel="0" collapsed="false">
      <c r="A271" s="80"/>
      <c r="B271" s="30"/>
      <c r="C271" s="30"/>
      <c r="D271" s="12" t="str">
        <f aca="false">IFERROR(INDEX(Chiffrage!$C:$C,MATCH(C271,Chiffrage!$B:$B,0)),"")</f>
        <v/>
      </c>
      <c r="E271" s="81"/>
      <c r="F271" s="30"/>
    </row>
    <row r="272" customFormat="false" ht="15" hidden="false" customHeight="true" outlineLevel="0" collapsed="false">
      <c r="A272" s="80"/>
      <c r="B272" s="30"/>
      <c r="C272" s="30"/>
      <c r="D272" s="12" t="str">
        <f aca="false">IFERROR(INDEX(Chiffrage!$C:$C,MATCH(C272,Chiffrage!$B:$B,0)),"")</f>
        <v/>
      </c>
      <c r="E272" s="81"/>
      <c r="F272" s="30"/>
    </row>
    <row r="273" customFormat="false" ht="15" hidden="false" customHeight="true" outlineLevel="0" collapsed="false">
      <c r="A273" s="80"/>
      <c r="B273" s="30"/>
      <c r="C273" s="30"/>
      <c r="D273" s="12" t="str">
        <f aca="false">IFERROR(INDEX(Chiffrage!$C:$C,MATCH(C273,Chiffrage!$B:$B,0)),"")</f>
        <v/>
      </c>
      <c r="E273" s="81"/>
      <c r="F273" s="30"/>
    </row>
    <row r="274" customFormat="false" ht="15" hidden="false" customHeight="true" outlineLevel="0" collapsed="false">
      <c r="A274" s="80"/>
      <c r="B274" s="30"/>
      <c r="C274" s="30"/>
      <c r="D274" s="12" t="str">
        <f aca="false">IFERROR(INDEX(Chiffrage!$C:$C,MATCH(C274,Chiffrage!$B:$B,0)),"")</f>
        <v/>
      </c>
      <c r="E274" s="81"/>
      <c r="F274" s="30"/>
    </row>
    <row r="275" customFormat="false" ht="15" hidden="false" customHeight="true" outlineLevel="0" collapsed="false">
      <c r="A275" s="80"/>
      <c r="B275" s="30"/>
      <c r="C275" s="30"/>
      <c r="D275" s="12" t="str">
        <f aca="false">IFERROR(INDEX(Chiffrage!$C:$C,MATCH(C275,Chiffrage!$B:$B,0)),"")</f>
        <v/>
      </c>
      <c r="E275" s="81"/>
      <c r="F275" s="30"/>
    </row>
    <row r="276" customFormat="false" ht="15" hidden="false" customHeight="true" outlineLevel="0" collapsed="false">
      <c r="A276" s="80"/>
      <c r="B276" s="30"/>
      <c r="C276" s="30"/>
      <c r="D276" s="12" t="str">
        <f aca="false">IFERROR(INDEX(Chiffrage!$C:$C,MATCH(C276,Chiffrage!$B:$B,0)),"")</f>
        <v/>
      </c>
      <c r="E276" s="81"/>
      <c r="F276" s="30"/>
    </row>
    <row r="277" customFormat="false" ht="15" hidden="false" customHeight="true" outlineLevel="0" collapsed="false">
      <c r="A277" s="80"/>
      <c r="B277" s="30"/>
      <c r="C277" s="30"/>
      <c r="D277" s="12" t="str">
        <f aca="false">IFERROR(INDEX(Chiffrage!$C:$C,MATCH(C277,Chiffrage!$B:$B,0)),"")</f>
        <v/>
      </c>
      <c r="E277" s="81"/>
      <c r="F277" s="30"/>
    </row>
    <row r="278" customFormat="false" ht="15" hidden="false" customHeight="true" outlineLevel="0" collapsed="false">
      <c r="A278" s="80"/>
      <c r="B278" s="30"/>
      <c r="C278" s="30"/>
      <c r="D278" s="12" t="str">
        <f aca="false">IFERROR(INDEX(Chiffrage!$C:$C,MATCH(C278,Chiffrage!$B:$B,0)),"")</f>
        <v/>
      </c>
      <c r="E278" s="81"/>
      <c r="F278" s="30"/>
    </row>
    <row r="279" customFormat="false" ht="15" hidden="false" customHeight="true" outlineLevel="0" collapsed="false">
      <c r="A279" s="80"/>
      <c r="B279" s="30"/>
      <c r="C279" s="30"/>
      <c r="D279" s="12" t="str">
        <f aca="false">IFERROR(INDEX(Chiffrage!$C:$C,MATCH(C279,Chiffrage!$B:$B,0)),"")</f>
        <v/>
      </c>
      <c r="E279" s="81"/>
      <c r="F279" s="30"/>
    </row>
    <row r="280" customFormat="false" ht="15" hidden="false" customHeight="true" outlineLevel="0" collapsed="false">
      <c r="A280" s="80"/>
      <c r="B280" s="30"/>
      <c r="C280" s="30"/>
      <c r="D280" s="12" t="str">
        <f aca="false">IFERROR(INDEX(Chiffrage!$C:$C,MATCH(C280,Chiffrage!$B:$B,0)),"")</f>
        <v/>
      </c>
      <c r="E280" s="81"/>
      <c r="F280" s="30"/>
    </row>
    <row r="281" customFormat="false" ht="15" hidden="false" customHeight="true" outlineLevel="0" collapsed="false">
      <c r="A281" s="80"/>
      <c r="B281" s="30"/>
      <c r="C281" s="30"/>
      <c r="D281" s="12" t="str">
        <f aca="false">IFERROR(INDEX(Chiffrage!$C:$C,MATCH(C281,Chiffrage!$B:$B,0)),"")</f>
        <v/>
      </c>
      <c r="E281" s="81"/>
      <c r="F281" s="30"/>
    </row>
    <row r="282" customFormat="false" ht="15" hidden="false" customHeight="true" outlineLevel="0" collapsed="false">
      <c r="A282" s="80"/>
      <c r="B282" s="30"/>
      <c r="C282" s="30"/>
      <c r="D282" s="12" t="str">
        <f aca="false">IFERROR(INDEX(Chiffrage!$C:$C,MATCH(C282,Chiffrage!$B:$B,0)),"")</f>
        <v/>
      </c>
      <c r="E282" s="81"/>
      <c r="F282" s="30"/>
    </row>
    <row r="283" customFormat="false" ht="15" hidden="false" customHeight="true" outlineLevel="0" collapsed="false">
      <c r="A283" s="80"/>
      <c r="B283" s="30"/>
      <c r="C283" s="30"/>
      <c r="D283" s="12" t="str">
        <f aca="false">IFERROR(INDEX(Chiffrage!$C:$C,MATCH(C283,Chiffrage!$B:$B,0)),"")</f>
        <v/>
      </c>
      <c r="E283" s="81"/>
      <c r="F283" s="30"/>
    </row>
    <row r="284" customFormat="false" ht="15" hidden="false" customHeight="true" outlineLevel="0" collapsed="false">
      <c r="A284" s="80"/>
      <c r="B284" s="30"/>
      <c r="C284" s="30"/>
      <c r="D284" s="12" t="str">
        <f aca="false">IFERROR(INDEX(Chiffrage!$C:$C,MATCH(C284,Chiffrage!$B:$B,0)),"")</f>
        <v/>
      </c>
      <c r="E284" s="81"/>
      <c r="F284" s="30"/>
    </row>
    <row r="285" customFormat="false" ht="15" hidden="false" customHeight="true" outlineLevel="0" collapsed="false">
      <c r="A285" s="80"/>
      <c r="B285" s="30"/>
      <c r="C285" s="30"/>
      <c r="D285" s="12" t="str">
        <f aca="false">IFERROR(INDEX(Chiffrage!$C:$C,MATCH(C285,Chiffrage!$B:$B,0)),"")</f>
        <v/>
      </c>
      <c r="E285" s="81"/>
      <c r="F285" s="30"/>
    </row>
    <row r="286" customFormat="false" ht="15" hidden="false" customHeight="true" outlineLevel="0" collapsed="false">
      <c r="A286" s="80"/>
      <c r="B286" s="30"/>
      <c r="C286" s="30"/>
      <c r="D286" s="12" t="str">
        <f aca="false">IFERROR(INDEX(Chiffrage!$C:$C,MATCH(C286,Chiffrage!$B:$B,0)),"")</f>
        <v/>
      </c>
      <c r="E286" s="81"/>
      <c r="F286" s="30"/>
    </row>
    <row r="287" customFormat="false" ht="15" hidden="false" customHeight="true" outlineLevel="0" collapsed="false">
      <c r="A287" s="80"/>
      <c r="B287" s="30"/>
      <c r="C287" s="30"/>
      <c r="D287" s="12" t="str">
        <f aca="false">IFERROR(INDEX(Chiffrage!$C:$C,MATCH(C287,Chiffrage!$B:$B,0)),"")</f>
        <v/>
      </c>
      <c r="E287" s="81"/>
      <c r="F287" s="30"/>
    </row>
    <row r="288" customFormat="false" ht="15" hidden="false" customHeight="true" outlineLevel="0" collapsed="false">
      <c r="A288" s="80"/>
      <c r="B288" s="30"/>
      <c r="C288" s="30"/>
      <c r="D288" s="12" t="str">
        <f aca="false">IFERROR(INDEX(Chiffrage!$C:$C,MATCH(C288,Chiffrage!$B:$B,0)),"")</f>
        <v/>
      </c>
      <c r="E288" s="81"/>
      <c r="F288" s="30"/>
    </row>
    <row r="289" customFormat="false" ht="15" hidden="false" customHeight="true" outlineLevel="0" collapsed="false">
      <c r="A289" s="80"/>
      <c r="B289" s="30"/>
      <c r="C289" s="30"/>
      <c r="D289" s="12" t="str">
        <f aca="false">IFERROR(INDEX(Chiffrage!$C:$C,MATCH(C289,Chiffrage!$B:$B,0)),"")</f>
        <v/>
      </c>
      <c r="E289" s="81"/>
      <c r="F289" s="30"/>
    </row>
    <row r="290" customFormat="false" ht="15" hidden="false" customHeight="true" outlineLevel="0" collapsed="false">
      <c r="A290" s="80"/>
      <c r="B290" s="30"/>
      <c r="C290" s="30"/>
      <c r="D290" s="12" t="str">
        <f aca="false">IFERROR(INDEX(Chiffrage!$C:$C,MATCH(C290,Chiffrage!$B:$B,0)),"")</f>
        <v/>
      </c>
      <c r="E290" s="81"/>
      <c r="F290" s="30"/>
    </row>
    <row r="291" customFormat="false" ht="15" hidden="false" customHeight="true" outlineLevel="0" collapsed="false">
      <c r="A291" s="80"/>
      <c r="B291" s="30"/>
      <c r="C291" s="30"/>
      <c r="D291" s="12" t="str">
        <f aca="false">IFERROR(INDEX(Chiffrage!$C:$C,MATCH(C291,Chiffrage!$B:$B,0)),"")</f>
        <v/>
      </c>
      <c r="E291" s="81"/>
      <c r="F291" s="30"/>
    </row>
    <row r="292" customFormat="false" ht="15" hidden="false" customHeight="true" outlineLevel="0" collapsed="false">
      <c r="A292" s="80"/>
      <c r="B292" s="30"/>
      <c r="C292" s="30"/>
      <c r="D292" s="12" t="str">
        <f aca="false">IFERROR(INDEX(Chiffrage!$C:$C,MATCH(C292,Chiffrage!$B:$B,0)),"")</f>
        <v/>
      </c>
      <c r="E292" s="81"/>
      <c r="F292" s="30"/>
    </row>
    <row r="293" customFormat="false" ht="15" hidden="false" customHeight="true" outlineLevel="0" collapsed="false">
      <c r="A293" s="80"/>
      <c r="B293" s="30"/>
      <c r="C293" s="30"/>
      <c r="D293" s="12" t="str">
        <f aca="false">IFERROR(INDEX(Chiffrage!$C:$C,MATCH(C293,Chiffrage!$B:$B,0)),"")</f>
        <v/>
      </c>
      <c r="E293" s="81"/>
      <c r="F293" s="30"/>
    </row>
    <row r="294" customFormat="false" ht="15" hidden="false" customHeight="true" outlineLevel="0" collapsed="false">
      <c r="A294" s="80"/>
      <c r="B294" s="30"/>
      <c r="C294" s="30"/>
      <c r="D294" s="12" t="str">
        <f aca="false">IFERROR(INDEX(Chiffrage!$C:$C,MATCH(C294,Chiffrage!$B:$B,0)),"")</f>
        <v/>
      </c>
      <c r="E294" s="81"/>
      <c r="F294" s="30"/>
    </row>
    <row r="295" customFormat="false" ht="15" hidden="false" customHeight="true" outlineLevel="0" collapsed="false">
      <c r="A295" s="80"/>
      <c r="B295" s="30"/>
      <c r="C295" s="30"/>
      <c r="D295" s="12" t="str">
        <f aca="false">IFERROR(INDEX(Chiffrage!$C:$C,MATCH(C295,Chiffrage!$B:$B,0)),"")</f>
        <v/>
      </c>
      <c r="E295" s="81"/>
      <c r="F295" s="30"/>
    </row>
    <row r="296" customFormat="false" ht="15" hidden="false" customHeight="true" outlineLevel="0" collapsed="false">
      <c r="A296" s="80"/>
      <c r="B296" s="30"/>
      <c r="C296" s="30"/>
      <c r="D296" s="12" t="str">
        <f aca="false">IFERROR(INDEX(Chiffrage!$C:$C,MATCH(C296,Chiffrage!$B:$B,0)),"")</f>
        <v/>
      </c>
      <c r="E296" s="81"/>
      <c r="F296" s="30"/>
    </row>
    <row r="297" customFormat="false" ht="15" hidden="false" customHeight="true" outlineLevel="0" collapsed="false">
      <c r="A297" s="80"/>
      <c r="B297" s="30"/>
      <c r="C297" s="30"/>
      <c r="D297" s="12" t="str">
        <f aca="false">IFERROR(INDEX(Chiffrage!$C:$C,MATCH(C297,Chiffrage!$B:$B,0)),"")</f>
        <v/>
      </c>
      <c r="E297" s="81"/>
      <c r="F297" s="30"/>
    </row>
    <row r="298" customFormat="false" ht="15" hidden="false" customHeight="true" outlineLevel="0" collapsed="false">
      <c r="A298" s="80"/>
      <c r="B298" s="30"/>
      <c r="C298" s="30"/>
      <c r="D298" s="12" t="str">
        <f aca="false">IFERROR(INDEX(Chiffrage!$C:$C,MATCH(C298,Chiffrage!$B:$B,0)),"")</f>
        <v/>
      </c>
      <c r="E298" s="81"/>
      <c r="F298" s="30"/>
    </row>
    <row r="299" customFormat="false" ht="15" hidden="false" customHeight="true" outlineLevel="0" collapsed="false">
      <c r="A299" s="80"/>
      <c r="B299" s="30"/>
      <c r="C299" s="30"/>
      <c r="D299" s="12" t="str">
        <f aca="false">IFERROR(INDEX(Chiffrage!$C:$C,MATCH(C299,Chiffrage!$B:$B,0)),"")</f>
        <v/>
      </c>
      <c r="E299" s="81"/>
      <c r="F299" s="30"/>
    </row>
    <row r="300" customFormat="false" ht="15" hidden="false" customHeight="true" outlineLevel="0" collapsed="false">
      <c r="A300" s="80"/>
      <c r="B300" s="30"/>
      <c r="C300" s="30"/>
      <c r="D300" s="12" t="str">
        <f aca="false">IFERROR(INDEX(Chiffrage!$C:$C,MATCH(C300,Chiffrage!$B:$B,0)),"")</f>
        <v/>
      </c>
      <c r="E300" s="81"/>
      <c r="F300" s="30"/>
    </row>
    <row r="301" customFormat="false" ht="15" hidden="false" customHeight="true" outlineLevel="0" collapsed="false">
      <c r="A301" s="80"/>
      <c r="B301" s="30"/>
      <c r="C301" s="30"/>
      <c r="D301" s="12" t="str">
        <f aca="false">IFERROR(INDEX(Chiffrage!$C:$C,MATCH(C301,Chiffrage!$B:$B,0)),"")</f>
        <v/>
      </c>
      <c r="E301" s="81"/>
      <c r="F301" s="30"/>
    </row>
    <row r="302" customFormat="false" ht="15" hidden="false" customHeight="true" outlineLevel="0" collapsed="false">
      <c r="A302" s="80"/>
      <c r="B302" s="30"/>
      <c r="C302" s="30"/>
      <c r="D302" s="12" t="str">
        <f aca="false">IFERROR(INDEX(Chiffrage!$C:$C,MATCH(C302,Chiffrage!$B:$B,0)),"")</f>
        <v/>
      </c>
      <c r="E302" s="81"/>
      <c r="F302" s="30"/>
    </row>
    <row r="303" customFormat="false" ht="15" hidden="false" customHeight="true" outlineLevel="0" collapsed="false">
      <c r="A303" s="80"/>
      <c r="B303" s="30"/>
      <c r="C303" s="30"/>
      <c r="D303" s="12" t="str">
        <f aca="false">IFERROR(INDEX(Chiffrage!$C:$C,MATCH(C303,Chiffrage!$B:$B,0)),"")</f>
        <v/>
      </c>
      <c r="E303" s="81"/>
      <c r="F303" s="30"/>
    </row>
    <row r="304" customFormat="false" ht="15" hidden="false" customHeight="true" outlineLevel="0" collapsed="false">
      <c r="A304" s="80"/>
      <c r="B304" s="30"/>
      <c r="C304" s="30"/>
      <c r="D304" s="12" t="str">
        <f aca="false">IFERROR(INDEX(Chiffrage!$C:$C,MATCH(C304,Chiffrage!$B:$B,0)),"")</f>
        <v/>
      </c>
      <c r="E304" s="81"/>
      <c r="F304" s="30"/>
    </row>
    <row r="305" customFormat="false" ht="15" hidden="false" customHeight="true" outlineLevel="0" collapsed="false">
      <c r="A305" s="80"/>
      <c r="B305" s="30"/>
      <c r="C305" s="30"/>
      <c r="D305" s="12" t="str">
        <f aca="false">IFERROR(INDEX(Chiffrage!$C:$C,MATCH(C305,Chiffrage!$B:$B,0)),"")</f>
        <v/>
      </c>
      <c r="E305" s="81"/>
      <c r="F305" s="30"/>
    </row>
  </sheetData>
  <autoFilter ref="A4:F3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64A2"/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5" min="5" style="0" width="11"/>
    <col collapsed="false" customWidth="true" hidden="false" outlineLevel="0" max="6" min="6" style="0" width="32"/>
  </cols>
  <sheetData>
    <row r="1" customFormat="false" ht="18" hidden="false" customHeight="true" outlineLevel="0" collapsed="false">
      <c r="A1" s="1" t="s">
        <v>219</v>
      </c>
    </row>
    <row r="2" customFormat="false" ht="15" hidden="false" customHeight="true" outlineLevel="0" collapsed="false">
      <c r="A2" s="2" t="s">
        <v>220</v>
      </c>
    </row>
    <row r="3" customFormat="false" ht="15.75" hidden="false" customHeight="true" outlineLevel="0" collapsed="false"/>
    <row r="4" customFormat="false" ht="31.5" hidden="false" customHeight="true" outlineLevel="0" collapsed="false">
      <c r="A4" s="6" t="s">
        <v>221</v>
      </c>
      <c r="B4" s="6" t="s">
        <v>195</v>
      </c>
      <c r="C4" s="6" t="s">
        <v>222</v>
      </c>
      <c r="D4" s="6" t="s">
        <v>223</v>
      </c>
      <c r="E4" s="6" t="s">
        <v>224</v>
      </c>
      <c r="F4" s="6" t="s">
        <v>225</v>
      </c>
    </row>
    <row r="5" customFormat="false" ht="33.75" hidden="false" customHeight="true" outlineLevel="0" collapsed="false">
      <c r="A5" s="82" t="s">
        <v>226</v>
      </c>
      <c r="B5" s="83" t="s">
        <v>227</v>
      </c>
      <c r="C5" s="83" t="s">
        <v>228</v>
      </c>
      <c r="D5" s="83" t="s">
        <v>229</v>
      </c>
      <c r="E5" s="84" t="s">
        <v>69</v>
      </c>
      <c r="F5" s="85" t="s">
        <v>230</v>
      </c>
    </row>
    <row r="6" customFormat="false" ht="33.75" hidden="false" customHeight="true" outlineLevel="0" collapsed="false">
      <c r="A6" s="86" t="s">
        <v>231</v>
      </c>
      <c r="B6" s="87" t="s">
        <v>232</v>
      </c>
      <c r="C6" s="87" t="s">
        <v>233</v>
      </c>
      <c r="D6" s="87" t="s">
        <v>234</v>
      </c>
      <c r="E6" s="88" t="s">
        <v>69</v>
      </c>
      <c r="F6" s="89" t="s">
        <v>235</v>
      </c>
    </row>
    <row r="7" customFormat="false" ht="33.75" hidden="false" customHeight="true" outlineLevel="0" collapsed="false">
      <c r="A7" s="90" t="s">
        <v>236</v>
      </c>
      <c r="B7" s="91" t="s">
        <v>237</v>
      </c>
      <c r="C7" s="91" t="s">
        <v>238</v>
      </c>
      <c r="D7" s="91" t="s">
        <v>239</v>
      </c>
      <c r="E7" s="92" t="s">
        <v>69</v>
      </c>
      <c r="F7" s="93" t="s">
        <v>240</v>
      </c>
    </row>
    <row r="8" customFormat="false" ht="33.75" hidden="false" customHeight="true" outlineLevel="0" collapsed="false">
      <c r="A8" s="94" t="s">
        <v>241</v>
      </c>
      <c r="B8" s="95" t="s">
        <v>242</v>
      </c>
      <c r="C8" s="95" t="s">
        <v>243</v>
      </c>
      <c r="D8" s="95" t="s">
        <v>244</v>
      </c>
      <c r="E8" s="92" t="s">
        <v>69</v>
      </c>
      <c r="F8" s="93" t="s">
        <v>245</v>
      </c>
    </row>
    <row r="9" customFormat="false" ht="33.75" hidden="false" customHeight="true" outlineLevel="0" collapsed="false">
      <c r="A9" s="90" t="s">
        <v>246</v>
      </c>
      <c r="B9" s="91" t="s">
        <v>247</v>
      </c>
      <c r="C9" s="91" t="s">
        <v>248</v>
      </c>
      <c r="D9" s="91" t="s">
        <v>249</v>
      </c>
      <c r="E9" s="92" t="s">
        <v>69</v>
      </c>
      <c r="F9" s="93" t="s">
        <v>250</v>
      </c>
    </row>
    <row r="10" customFormat="false" ht="33.75" hidden="false" customHeight="true" outlineLevel="0" collapsed="false">
      <c r="A10" s="94" t="s">
        <v>251</v>
      </c>
      <c r="B10" s="95" t="s">
        <v>247</v>
      </c>
      <c r="C10" s="95" t="s">
        <v>252</v>
      </c>
      <c r="D10" s="95" t="s">
        <v>253</v>
      </c>
      <c r="E10" s="92" t="s">
        <v>69</v>
      </c>
      <c r="F10" s="93" t="s">
        <v>254</v>
      </c>
    </row>
    <row r="11" customFormat="false" ht="33.75" hidden="false" customHeight="true" outlineLevel="0" collapsed="false">
      <c r="A11" s="90" t="s">
        <v>255</v>
      </c>
      <c r="B11" s="91" t="s">
        <v>256</v>
      </c>
      <c r="C11" s="91" t="s">
        <v>257</v>
      </c>
      <c r="D11" s="91" t="s">
        <v>258</v>
      </c>
      <c r="E11" s="92" t="s">
        <v>69</v>
      </c>
      <c r="F11" s="93" t="s">
        <v>259</v>
      </c>
    </row>
    <row r="12" customFormat="false" ht="33.75" hidden="false" customHeight="true" outlineLevel="0" collapsed="false">
      <c r="A12" s="94" t="s">
        <v>260</v>
      </c>
      <c r="B12" s="95" t="s">
        <v>261</v>
      </c>
      <c r="C12" s="95" t="s">
        <v>262</v>
      </c>
      <c r="D12" s="95" t="s">
        <v>239</v>
      </c>
      <c r="E12" s="92" t="s">
        <v>80</v>
      </c>
      <c r="F12" s="93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C090"/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4" activeCellId="0" sqref="B24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4"/>
  </cols>
  <sheetData>
    <row r="1" customFormat="false" ht="18" hidden="false" customHeight="true" outlineLevel="0" collapsed="false">
      <c r="A1" s="1" t="s">
        <v>264</v>
      </c>
    </row>
    <row r="2" customFormat="false" ht="15" hidden="false" customHeight="true" outlineLevel="0" collapsed="false">
      <c r="A2" s="2" t="s">
        <v>265</v>
      </c>
    </row>
    <row r="3" customFormat="false" ht="15.75" hidden="false" customHeight="true" outlineLevel="0" collapsed="false"/>
    <row r="4" customFormat="false" ht="31.5" hidden="false" customHeight="true" outlineLevel="0" collapsed="false">
      <c r="A4" s="6" t="s">
        <v>266</v>
      </c>
      <c r="B4" s="6" t="s">
        <v>267</v>
      </c>
      <c r="C4" s="6" t="s">
        <v>268</v>
      </c>
      <c r="D4" s="6" t="s">
        <v>269</v>
      </c>
      <c r="E4" s="6" t="s">
        <v>195</v>
      </c>
      <c r="F4" s="6" t="s">
        <v>270</v>
      </c>
    </row>
    <row r="5" customFormat="false" ht="15" hidden="false" customHeight="true" outlineLevel="0" collapsed="false">
      <c r="A5" s="96" t="n">
        <v>1</v>
      </c>
      <c r="B5" s="7" t="s">
        <v>271</v>
      </c>
      <c r="C5" s="37"/>
      <c r="D5" s="97" t="s">
        <v>69</v>
      </c>
      <c r="E5" s="98" t="s">
        <v>214</v>
      </c>
      <c r="F5" s="24" t="s">
        <v>8</v>
      </c>
    </row>
    <row r="6" customFormat="false" ht="15" hidden="false" customHeight="true" outlineLevel="0" collapsed="false">
      <c r="A6" s="99" t="n">
        <v>2</v>
      </c>
      <c r="B6" s="10" t="s">
        <v>272</v>
      </c>
      <c r="C6" s="40"/>
      <c r="D6" s="100" t="s">
        <v>69</v>
      </c>
      <c r="E6" s="101" t="s">
        <v>214</v>
      </c>
      <c r="F6" s="27" t="s">
        <v>8</v>
      </c>
    </row>
    <row r="7" customFormat="false" ht="15" hidden="false" customHeight="true" outlineLevel="0" collapsed="false">
      <c r="A7" s="102" t="n">
        <v>3</v>
      </c>
      <c r="B7" s="12" t="s">
        <v>273</v>
      </c>
      <c r="C7" s="43"/>
      <c r="D7" s="5" t="s">
        <v>69</v>
      </c>
      <c r="E7" s="103" t="s">
        <v>214</v>
      </c>
      <c r="F7" s="30" t="s">
        <v>8</v>
      </c>
    </row>
    <row r="8" customFormat="false" ht="15" hidden="false" customHeight="true" outlineLevel="0" collapsed="false">
      <c r="A8" s="102" t="n">
        <v>4</v>
      </c>
      <c r="B8" s="12" t="s">
        <v>274</v>
      </c>
      <c r="C8" s="43"/>
      <c r="D8" s="5" t="s">
        <v>80</v>
      </c>
      <c r="E8" s="103"/>
      <c r="F8" s="30"/>
    </row>
    <row r="9" customFormat="false" ht="15" hidden="false" customHeight="true" outlineLevel="0" collapsed="false">
      <c r="A9" s="102" t="n">
        <v>5</v>
      </c>
      <c r="B9" s="12" t="s">
        <v>275</v>
      </c>
      <c r="C9" s="43"/>
      <c r="D9" s="5" t="s">
        <v>80</v>
      </c>
      <c r="E9" s="103"/>
      <c r="F9" s="30"/>
    </row>
    <row r="10" customFormat="false" ht="15" hidden="false" customHeight="true" outlineLevel="0" collapsed="false">
      <c r="A10" s="102" t="n">
        <v>6</v>
      </c>
      <c r="B10" s="12" t="s">
        <v>276</v>
      </c>
      <c r="C10" s="43"/>
      <c r="D10" s="5" t="s">
        <v>80</v>
      </c>
      <c r="E10" s="103"/>
      <c r="F10" s="30"/>
    </row>
    <row r="12" customFormat="false" ht="15.75" hidden="false" customHeight="true" outlineLevel="0" collapsed="false">
      <c r="B12" s="3" t="s">
        <v>277</v>
      </c>
    </row>
    <row r="13" customFormat="false" ht="15" hidden="false" customHeight="true" outlineLevel="0" collapsed="false">
      <c r="B13" s="104" t="s">
        <v>278</v>
      </c>
    </row>
    <row r="14" customFormat="false" ht="15" hidden="false" customHeight="true" outlineLevel="0" collapsed="false">
      <c r="B14" s="104" t="s">
        <v>279</v>
      </c>
    </row>
    <row r="15" customFormat="false" ht="15" hidden="false" customHeight="true" outlineLevel="0" collapsed="false">
      <c r="B15" s="104" t="s">
        <v>280</v>
      </c>
    </row>
    <row r="16" customFormat="false" ht="15" hidden="false" customHeight="true" outlineLevel="0" collapsed="false">
      <c r="B16" s="104" t="s">
        <v>281</v>
      </c>
    </row>
    <row r="17" customFormat="false" ht="15" hidden="false" customHeight="true" outlineLevel="0" collapsed="false">
      <c r="B17" s="104" t="s">
        <v>282</v>
      </c>
    </row>
    <row r="18" customFormat="false" ht="15" hidden="false" customHeight="true" outlineLevel="0" collapsed="false">
      <c r="B18" s="104" t="s">
        <v>283</v>
      </c>
    </row>
    <row r="19" customFormat="false" ht="15" hidden="false" customHeight="true" outlineLevel="0" collapsed="false">
      <c r="B19" s="104" t="s">
        <v>284</v>
      </c>
    </row>
    <row r="20" customFormat="false" ht="15" hidden="false" customHeight="true" outlineLevel="0" collapsed="false">
      <c r="B20" s="104" t="s">
        <v>285</v>
      </c>
    </row>
    <row r="22" customFormat="false" ht="15" hidden="false" customHeight="true" outlineLevel="0" collapsed="false">
      <c r="B2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7E4BD"/>
    <pageSetUpPr fitToPage="false"/>
  </sheetPr>
  <dimension ref="A1:K33"/>
  <sheetViews>
    <sheetView showFormulas="false" showGridLines="false" showRowColHeaders="true" showZeros="true" rightToLeft="false" tabSelected="false" showOutlineSymbols="true" defaultGridColor="true" view="normal" topLeftCell="B20" colorId="64" zoomScale="115" zoomScaleNormal="115" zoomScalePageLayoutView="100" workbookViewId="0">
      <selection pane="topLeft" activeCell="A37" activeCellId="0" sqref="A37"/>
    </sheetView>
  </sheetViews>
  <sheetFormatPr defaultColWidth="11.5078125" defaultRowHeight="15" zeroHeight="false" outlineLevelRow="0" outlineLevelCol="0"/>
  <cols>
    <col collapsed="false" customWidth="true" hidden="false" outlineLevel="0" max="1" min="1" style="0" width="2.33"/>
    <col collapsed="false" customWidth="true" hidden="false" outlineLevel="0" max="10" min="2" style="0" width="10.33"/>
    <col collapsed="false" customWidth="true" hidden="false" outlineLevel="0" max="11" min="11" style="0" width="2.33"/>
  </cols>
  <sheetData>
    <row r="1" customFormat="false" ht="25.5" hidden="false" customHeight="true" outlineLevel="0" collapsed="false">
      <c r="A1" s="105" t="s">
        <v>286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</row>
    <row r="2" customFormat="false" ht="15" hidden="false" customHeight="true" outlineLevel="0" collapsed="false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</row>
    <row r="3" customFormat="false" ht="15" hidden="false" customHeight="true" outlineLevel="0" collapsed="false">
      <c r="A3" s="106"/>
      <c r="B3" s="107" t="s">
        <v>287</v>
      </c>
      <c r="C3" s="107"/>
      <c r="D3" s="107"/>
      <c r="E3" s="107"/>
      <c r="F3" s="107"/>
      <c r="G3" s="107"/>
      <c r="H3" s="107"/>
      <c r="I3" s="107"/>
      <c r="J3" s="107"/>
      <c r="K3" s="106"/>
    </row>
    <row r="4" customFormat="false" ht="21.75" hidden="false" customHeight="true" outlineLevel="0" collapsed="false">
      <c r="A4" s="106"/>
      <c r="B4" s="108" t="s">
        <v>288</v>
      </c>
      <c r="C4" s="108"/>
      <c r="D4" s="108"/>
      <c r="E4" s="108" t="s">
        <v>289</v>
      </c>
      <c r="F4" s="108"/>
      <c r="G4" s="108"/>
      <c r="H4" s="108" t="s">
        <v>290</v>
      </c>
      <c r="I4" s="108"/>
      <c r="J4" s="108"/>
      <c r="K4" s="106"/>
    </row>
    <row r="5" customFormat="false" ht="31.5" hidden="false" customHeight="true" outlineLevel="0" collapsed="false">
      <c r="A5" s="106"/>
      <c r="B5" s="109" t="s">
        <v>291</v>
      </c>
      <c r="C5" s="109"/>
      <c r="D5" s="109"/>
      <c r="E5" s="110" t="s">
        <v>292</v>
      </c>
      <c r="F5" s="110"/>
      <c r="G5" s="110"/>
      <c r="H5" s="111" t="s">
        <v>293</v>
      </c>
      <c r="I5" s="111"/>
      <c r="J5" s="111"/>
      <c r="K5" s="106"/>
    </row>
    <row r="6" customFormat="false" ht="30" hidden="false" customHeight="true" outlineLevel="0" collapsed="false">
      <c r="A6" s="106"/>
      <c r="B6" s="112" t="str">
        <f aca="false">Chiffrage!B15&amp;" "&amp;Chiffrage!C15</f>
        <v>A01 Inscription et parcours structure</v>
      </c>
      <c r="C6" s="112"/>
      <c r="D6" s="112"/>
      <c r="E6" s="113" t="str">
        <f aca="false">Chiffrage!B29&amp;" "&amp;Chiffrage!C29</f>
        <v>D01 Import API France Travail en ligne de commande</v>
      </c>
      <c r="F6" s="113"/>
      <c r="G6" s="113"/>
      <c r="H6" s="114" t="str">
        <f aca="false">Chiffrage!B49&amp;" "&amp;Chiffrage!C49</f>
        <v>O01 Confirmation de mission générée depuis un modèle</v>
      </c>
      <c r="I6" s="114"/>
      <c r="J6" s="114"/>
      <c r="K6" s="106"/>
    </row>
    <row r="7" customFormat="false" ht="30" hidden="false" customHeight="true" outlineLevel="0" collapsed="false">
      <c r="A7" s="106"/>
      <c r="B7" s="112" t="str">
        <f aca="false">Chiffrage!B16&amp;" "&amp;Chiffrage!C16</f>
        <v>A02 Inscription et parcours intervenant</v>
      </c>
      <c r="C7" s="112"/>
      <c r="D7" s="112"/>
      <c r="E7" s="113" t="str">
        <f aca="false">Chiffrage!B30&amp;" "&amp;Chiffrage!C30</f>
        <v>D02 Nettoyage, normalisation, dédoublonnage</v>
      </c>
      <c r="F7" s="113"/>
      <c r="G7" s="113"/>
      <c r="H7" s="114" t="str">
        <f aca="false">Chiffrage!B50&amp;" "&amp;Chiffrage!C50</f>
        <v>O02 Autocomplétion des intitulés de poste</v>
      </c>
      <c r="I7" s="114"/>
      <c r="J7" s="114"/>
      <c r="K7" s="106"/>
    </row>
    <row r="8" customFormat="false" ht="30" hidden="false" customHeight="true" outlineLevel="0" collapsed="false">
      <c r="A8" s="106"/>
      <c r="B8" s="112" t="str">
        <f aca="false">Chiffrage!B17&amp;" "&amp;Chiffrage!C17</f>
        <v>A03 Authentification développée par nous</v>
      </c>
      <c r="C8" s="112"/>
      <c r="D8" s="112"/>
      <c r="E8" s="113" t="str">
        <f aca="false">Chiffrage!B31&amp;" "&amp;Chiffrage!C31</f>
        <v>D03 Indicateur de tension affiché à la saisie</v>
      </c>
      <c r="F8" s="113"/>
      <c r="G8" s="113"/>
      <c r="H8" s="114" t="str">
        <f aca="false">Chiffrage!B51&amp;" "&amp;Chiffrage!C51</f>
        <v>O03 Tableau de suivi des notifications et des délais</v>
      </c>
      <c r="I8" s="114"/>
      <c r="J8" s="114"/>
      <c r="K8" s="106"/>
    </row>
    <row r="9" customFormat="false" ht="30" hidden="false" customHeight="true" outlineLevel="0" collapsed="false">
      <c r="A9" s="106"/>
      <c r="B9" s="112" t="str">
        <f aca="false">Chiffrage!B18&amp;" "&amp;Chiffrage!C18</f>
        <v>A04 Permissions par rôle</v>
      </c>
      <c r="C9" s="112"/>
      <c r="D9" s="112"/>
      <c r="E9" s="113" t="str">
        <f aca="false">Chiffrage!B32&amp;" "&amp;Chiffrage!C32</f>
        <v>D04 Jeu de données de démonstration</v>
      </c>
      <c r="F9" s="113"/>
      <c r="G9" s="113"/>
      <c r="H9" s="114"/>
      <c r="I9" s="114"/>
      <c r="J9" s="114"/>
      <c r="K9" s="106"/>
    </row>
    <row r="10" customFormat="false" ht="30" hidden="false" customHeight="true" outlineLevel="0" collapsed="false">
      <c r="A10" s="106"/>
      <c r="B10" s="112" t="str">
        <f aca="false">Chiffrage!B19&amp;" "&amp;Chiffrage!C19</f>
        <v>A05 Chiffrement des documents sensibles</v>
      </c>
      <c r="C10" s="112"/>
      <c r="D10" s="112"/>
      <c r="E10" s="113" t="str">
        <f aca="false">Chiffrage!B33&amp;" "&amp;Chiffrage!C33</f>
        <v>N01 Notification automatique aux profils retenus</v>
      </c>
      <c r="F10" s="113"/>
      <c r="G10" s="113"/>
      <c r="H10" s="114"/>
      <c r="I10" s="114"/>
      <c r="J10" s="114"/>
      <c r="K10" s="106"/>
    </row>
    <row r="11" customFormat="false" ht="30" hidden="false" customHeight="true" outlineLevel="0" collapsed="false">
      <c r="A11" s="106"/>
      <c r="B11" s="112" t="str">
        <f aca="false">Chiffrage!B20&amp;" "&amp;Chiffrage!C20</f>
        <v>M01 Profil intervenant détaillé</v>
      </c>
      <c r="C11" s="112"/>
      <c r="D11" s="112"/>
      <c r="E11" s="113" t="str">
        <f aca="false">Chiffrage!B34&amp;" "&amp;Chiffrage!C34</f>
        <v>N02 Relance automatique des besoins non pourvus</v>
      </c>
      <c r="F11" s="113"/>
      <c r="G11" s="113"/>
      <c r="H11" s="114"/>
      <c r="I11" s="114"/>
      <c r="J11" s="114"/>
      <c r="K11" s="106"/>
    </row>
    <row r="12" customFormat="false" ht="30" hidden="false" customHeight="true" outlineLevel="0" collapsed="false">
      <c r="A12" s="106"/>
      <c r="B12" s="112" t="str">
        <f aca="false">Chiffrage!B21&amp;" "&amp;Chiffrage!C21</f>
        <v>M02 Dépôt d'un besoin par la structure</v>
      </c>
      <c r="C12" s="112"/>
      <c r="D12" s="112"/>
      <c r="E12" s="113" t="str">
        <f aca="false">Chiffrage!B35&amp;" "&amp;Chiffrage!C35</f>
        <v>N03 Base tampon et exports des scénarios</v>
      </c>
      <c r="F12" s="113"/>
      <c r="G12" s="113"/>
      <c r="H12" s="114"/>
      <c r="I12" s="114"/>
      <c r="J12" s="114"/>
      <c r="K12" s="106"/>
    </row>
    <row r="13" customFormat="false" ht="30" hidden="false" customHeight="true" outlineLevel="0" collapsed="false">
      <c r="A13" s="106"/>
      <c r="B13" s="112" t="str">
        <f aca="false">Chiffrage!B22&amp;" "&amp;Chiffrage!C22</f>
        <v>M03 Cycle de vie du besoin et historique daté</v>
      </c>
      <c r="C13" s="112"/>
      <c r="D13" s="112"/>
      <c r="E13" s="113" t="str">
        <f aca="false">Chiffrage!B36&amp;" "&amp;Chiffrage!C36</f>
        <v>K01 RGPD : base légale, conservation, mentions</v>
      </c>
      <c r="F13" s="113"/>
      <c r="G13" s="113"/>
      <c r="H13" s="114"/>
      <c r="I13" s="114"/>
      <c r="J13" s="114"/>
      <c r="K13" s="106"/>
    </row>
    <row r="14" customFormat="false" ht="30" hidden="false" customHeight="true" outlineLevel="0" collapsed="false">
      <c r="A14" s="106"/>
      <c r="B14" s="112" t="str">
        <f aca="false">Chiffrage!B23&amp;" "&amp;Chiffrage!C23</f>
        <v>M04 Tableau de bord des états</v>
      </c>
      <c r="C14" s="112"/>
      <c r="D14" s="112"/>
      <c r="E14" s="113" t="str">
        <f aca="false">Chiffrage!B37&amp;" "&amp;Chiffrage!C37</f>
        <v>K02 Code du travail : mentions du contrat, durée maximale</v>
      </c>
      <c r="F14" s="113"/>
      <c r="G14" s="113"/>
      <c r="H14" s="114"/>
      <c r="I14" s="114"/>
      <c r="J14" s="114"/>
      <c r="K14" s="106"/>
    </row>
    <row r="15" customFormat="false" ht="30" hidden="false" customHeight="true" outlineLevel="0" collapsed="false">
      <c r="A15" s="106"/>
      <c r="B15" s="112" t="str">
        <f aca="false">Chiffrage!B24&amp;" "&amp;Chiffrage!C24</f>
        <v>M05 Pages publiques d'annonces</v>
      </c>
      <c r="C15" s="112"/>
      <c r="D15" s="112"/>
      <c r="E15" s="113" t="str">
        <f aca="false">Chiffrage!B38&amp;" "&amp;Chiffrage!C38</f>
        <v>K03 Accessibilité RGAA 4.1</v>
      </c>
      <c r="F15" s="113"/>
      <c r="G15" s="113"/>
      <c r="H15" s="114"/>
      <c r="I15" s="114"/>
      <c r="J15" s="114"/>
      <c r="K15" s="106"/>
    </row>
    <row r="16" customFormat="false" ht="30" hidden="false" customHeight="true" outlineLevel="0" collapsed="false">
      <c r="A16" s="106"/>
      <c r="B16" s="112" t="str">
        <f aca="false">Chiffrage!B25&amp;" "&amp;Chiffrage!C25</f>
        <v>X01 Filtres éliminatoires dont contrôle Valletoux</v>
      </c>
      <c r="C16" s="112"/>
      <c r="D16" s="112"/>
      <c r="E16" s="113" t="str">
        <f aca="false">Chiffrage!B39&amp;" "&amp;Chiffrage!C39</f>
        <v>K04 Éco-conception RGESN, mesure avant et après</v>
      </c>
      <c r="F16" s="113"/>
      <c r="G16" s="113"/>
      <c r="H16" s="114"/>
      <c r="I16" s="114"/>
      <c r="J16" s="114"/>
      <c r="K16" s="106"/>
    </row>
    <row r="17" customFormat="false" ht="30" hidden="false" customHeight="true" outlineLevel="0" collapsed="false">
      <c r="A17" s="106"/>
      <c r="B17" s="112" t="str">
        <f aca="false">Chiffrage!B26&amp;" "&amp;Chiffrage!C26</f>
        <v>X02 Score pondéré compétences, zone, créneaux</v>
      </c>
      <c r="C17" s="112"/>
      <c r="D17" s="112"/>
      <c r="E17" s="113" t="str">
        <f aca="false">Chiffrage!B40&amp;" "&amp;Chiffrage!C40</f>
        <v>K05 Référencement : balises, titres, sitemap</v>
      </c>
      <c r="F17" s="113"/>
      <c r="G17" s="113"/>
      <c r="H17" s="114"/>
      <c r="I17" s="114"/>
      <c r="J17" s="114"/>
      <c r="K17" s="106"/>
    </row>
    <row r="18" customFormat="false" ht="30" hidden="false" customHeight="true" outlineLevel="0" collapsed="false">
      <c r="A18" s="106"/>
      <c r="B18" s="112" t="str">
        <f aca="false">Chiffrage!B27&amp;" "&amp;Chiffrage!C27</f>
        <v>X03 Short-list, acceptation, refus motivé</v>
      </c>
      <c r="C18" s="112"/>
      <c r="D18" s="112"/>
      <c r="E18" s="113" t="str">
        <f aca="false">Chiffrage!B41&amp;" "&amp;Chiffrage!C41</f>
        <v>Q01 Tests unitaires</v>
      </c>
      <c r="F18" s="113"/>
      <c r="G18" s="113"/>
      <c r="H18" s="114"/>
      <c r="I18" s="114"/>
      <c r="J18" s="114"/>
      <c r="K18" s="106"/>
    </row>
    <row r="19" customFormat="false" ht="30" hidden="false" customHeight="true" outlineLevel="0" collapsed="false">
      <c r="A19" s="106"/>
      <c r="B19" s="112" t="str">
        <f aca="false">Chiffrage!B28&amp;" "&amp;Chiffrage!C28</f>
        <v>X04 Journal des décisions de matching</v>
      </c>
      <c r="C19" s="112"/>
      <c r="D19" s="112"/>
      <c r="E19" s="113" t="str">
        <f aca="false">Chiffrage!B42&amp;" "&amp;Chiffrage!C42</f>
        <v>Q02 Tests fonctionnels des parcours critiques</v>
      </c>
      <c r="F19" s="113"/>
      <c r="G19" s="113"/>
      <c r="H19" s="114"/>
      <c r="I19" s="114"/>
      <c r="J19" s="114"/>
      <c r="K19" s="106"/>
    </row>
    <row r="20" customFormat="false" ht="30" hidden="false" customHeight="true" outlineLevel="0" collapsed="false">
      <c r="A20" s="106"/>
      <c r="B20" s="112"/>
      <c r="C20" s="112"/>
      <c r="D20" s="112"/>
      <c r="E20" s="113" t="str">
        <f aca="false">Chiffrage!B43&amp;" "&amp;Chiffrage!C43</f>
        <v>Q03 Rapport de couverture</v>
      </c>
      <c r="F20" s="113"/>
      <c r="G20" s="113"/>
      <c r="H20" s="114"/>
      <c r="I20" s="114"/>
      <c r="J20" s="114"/>
      <c r="K20" s="106"/>
    </row>
    <row r="21" customFormat="false" ht="30" hidden="false" customHeight="true" outlineLevel="0" collapsed="false">
      <c r="A21" s="106"/>
      <c r="B21" s="112"/>
      <c r="C21" s="112"/>
      <c r="D21" s="112"/>
      <c r="E21" s="113" t="str">
        <f aca="false">Chiffrage!B44&amp;" "&amp;Chiffrage!C44</f>
        <v>Q04 Recette des critères d'acceptation</v>
      </c>
      <c r="F21" s="113"/>
      <c r="G21" s="113"/>
      <c r="H21" s="114"/>
      <c r="I21" s="114"/>
      <c r="J21" s="114"/>
      <c r="K21" s="106"/>
    </row>
    <row r="22" customFormat="false" ht="15" hidden="false" customHeight="true" outlineLevel="0" collapsed="false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</row>
    <row r="23" customFormat="false" ht="15" hidden="false" customHeight="true" outlineLevel="0" collapsed="false">
      <c r="A23" s="106"/>
      <c r="B23" s="107" t="s">
        <v>294</v>
      </c>
      <c r="C23" s="107"/>
      <c r="D23" s="107"/>
      <c r="E23" s="107"/>
      <c r="F23" s="107"/>
      <c r="G23" s="107"/>
      <c r="H23" s="107"/>
      <c r="I23" s="107"/>
      <c r="J23" s="107"/>
      <c r="K23" s="106"/>
    </row>
    <row r="24" customFormat="false" ht="21.75" hidden="false" customHeight="true" outlineLevel="0" collapsed="false">
      <c r="A24" s="106"/>
      <c r="B24" s="115" t="s">
        <v>221</v>
      </c>
      <c r="C24" s="115" t="s">
        <v>195</v>
      </c>
      <c r="D24" s="116" t="s">
        <v>295</v>
      </c>
      <c r="E24" s="116"/>
      <c r="F24" s="116"/>
      <c r="G24" s="116"/>
      <c r="H24" s="116"/>
      <c r="I24" s="116"/>
      <c r="J24" s="116"/>
    </row>
    <row r="25" customFormat="false" ht="31.5" hidden="false" customHeight="true" outlineLevel="0" collapsed="false">
      <c r="A25" s="106"/>
      <c r="B25" s="117" t="str">
        <f aca="false">Jalons!A5</f>
        <v>M0</v>
      </c>
      <c r="C25" s="118" t="str">
        <f aca="false">Jalons!B5</f>
        <v>J1 · 14/09</v>
      </c>
      <c r="D25" s="119" t="str">
        <f aca="false">Jalons!C5</f>
        <v>Premier appel à l'API France Travail réussi, volumes comptés, département du POC choisi</v>
      </c>
      <c r="E25" s="119"/>
      <c r="F25" s="119"/>
      <c r="G25" s="119"/>
      <c r="H25" s="119"/>
      <c r="I25" s="119"/>
      <c r="J25" s="119"/>
    </row>
    <row r="26" customFormat="false" ht="31.5" hidden="false" customHeight="true" outlineLevel="0" collapsed="false">
      <c r="A26" s="106"/>
      <c r="B26" s="117" t="str">
        <f aca="false">Jalons!A6</f>
        <v>M1</v>
      </c>
      <c r="C26" s="118" t="str">
        <f aca="false">Jalons!B6</f>
        <v>J2 · 15/09</v>
      </c>
      <c r="D26" s="119" t="str">
        <f aca="false">Jalons!C6</f>
        <v>Cahier des charges validé par les cinq, environnement de développement qui démarre</v>
      </c>
      <c r="E26" s="119"/>
      <c r="F26" s="119"/>
      <c r="G26" s="119"/>
      <c r="H26" s="119"/>
      <c r="I26" s="119"/>
      <c r="J26" s="119"/>
    </row>
    <row r="27" customFormat="false" ht="31.5" hidden="false" customHeight="true" outlineLevel="0" collapsed="false">
      <c r="A27" s="106"/>
      <c r="B27" s="117" t="str">
        <f aca="false">Jalons!A7</f>
        <v>M2</v>
      </c>
      <c r="C27" s="118" t="str">
        <f aca="false">Jalons!B7</f>
        <v>J3 · 16/09</v>
      </c>
      <c r="D27" s="119" t="str">
        <f aca="false">Jalons!C7</f>
        <v>Point go/nogo : périmètre validé, coupes éventuelles actées</v>
      </c>
      <c r="E27" s="119"/>
      <c r="F27" s="119"/>
      <c r="G27" s="119"/>
      <c r="H27" s="119"/>
      <c r="I27" s="119"/>
      <c r="J27" s="119"/>
    </row>
    <row r="28" customFormat="false" ht="31.5" hidden="false" customHeight="true" outlineLevel="0" collapsed="false">
      <c r="A28" s="106"/>
      <c r="B28" s="117" t="str">
        <f aca="false">Jalons!A8</f>
        <v>M3</v>
      </c>
      <c r="C28" s="118" t="str">
        <f aca="false">Jalons!B8</f>
        <v>J5 · 18/09</v>
      </c>
      <c r="D28" s="119" t="str">
        <f aca="false">Jalons!C8</f>
        <v>Comptes, permissions, documents chiffrés, profil, import de données qui tourne</v>
      </c>
      <c r="E28" s="119"/>
      <c r="F28" s="119"/>
      <c r="G28" s="119"/>
      <c r="H28" s="119"/>
      <c r="I28" s="119"/>
      <c r="J28" s="119"/>
    </row>
    <row r="29" customFormat="false" ht="31.5" hidden="false" customHeight="true" outlineLevel="0" collapsed="false">
      <c r="A29" s="106"/>
      <c r="B29" s="117" t="str">
        <f aca="false">Jalons!A9</f>
        <v>M4</v>
      </c>
      <c r="C29" s="118" t="str">
        <f aca="false">Jalons!B9</f>
        <v>J8 · 23/09</v>
      </c>
      <c r="D29" s="119" t="str">
        <f aca="false">Jalons!C9</f>
        <v>Parcours complet joué en démo interne, de l'inscription à la validation</v>
      </c>
      <c r="E29" s="119"/>
      <c r="F29" s="119"/>
      <c r="G29" s="119"/>
      <c r="H29" s="119"/>
      <c r="I29" s="119"/>
      <c r="J29" s="119"/>
    </row>
    <row r="30" customFormat="false" ht="31.5" hidden="false" customHeight="true" outlineLevel="0" collapsed="false">
      <c r="A30" s="106"/>
      <c r="B30" s="117" t="str">
        <f aca="false">Jalons!A10</f>
        <v>M5</v>
      </c>
      <c r="C30" s="118" t="str">
        <f aca="false">Jalons!B10</f>
        <v>J8 · 23/09</v>
      </c>
      <c r="D30" s="119" t="str">
        <f aca="false">Jalons!C10</f>
        <v>Gel du code. Plus aucune nouvelle fonctionnalité, conformité terminée</v>
      </c>
      <c r="E30" s="119"/>
      <c r="F30" s="119"/>
      <c r="G30" s="119"/>
      <c r="H30" s="119"/>
      <c r="I30" s="119"/>
      <c r="J30" s="119"/>
    </row>
    <row r="31" customFormat="false" ht="31.5" hidden="false" customHeight="true" outlineLevel="0" collapsed="false">
      <c r="A31" s="106"/>
      <c r="B31" s="117" t="str">
        <f aca="false">Jalons!A11</f>
        <v>M6</v>
      </c>
      <c r="C31" s="118" t="str">
        <f aca="false">Jalons!B11</f>
        <v>J9 · 24/09</v>
      </c>
      <c r="D31" s="119" t="str">
        <f aca="false">Jalons!C11</f>
        <v>Couverture de tests générée, parcours critiques au vert, première répétition</v>
      </c>
      <c r="E31" s="119"/>
      <c r="F31" s="119"/>
      <c r="G31" s="119"/>
      <c r="H31" s="119"/>
      <c r="I31" s="119"/>
      <c r="J31" s="119"/>
    </row>
    <row r="32" customFormat="false" ht="31.5" hidden="false" customHeight="true" outlineLevel="0" collapsed="false">
      <c r="A32" s="106"/>
      <c r="B32" s="117" t="str">
        <f aca="false">Jalons!A12</f>
        <v>M7</v>
      </c>
      <c r="C32" s="118" t="str">
        <f aca="false">Jalons!B12</f>
        <v>J10 · 25/09</v>
      </c>
      <c r="D32" s="119" t="str">
        <f aca="false">Jalons!C12</f>
        <v>Écart estimé/réel produit, deuxième répétition, soutenance</v>
      </c>
      <c r="E32" s="119"/>
      <c r="F32" s="119"/>
      <c r="G32" s="119"/>
      <c r="H32" s="119"/>
      <c r="I32" s="119"/>
      <c r="J32" s="119"/>
      <c r="K32" s="106"/>
    </row>
    <row r="33" customFormat="false" ht="12" hidden="false" customHeight="true" outlineLevel="0" collapsed="false">
      <c r="B33" s="120"/>
      <c r="C33" s="120"/>
      <c r="D33" s="120"/>
      <c r="E33" s="120"/>
      <c r="F33" s="120"/>
      <c r="G33" s="120"/>
      <c r="H33" s="120"/>
      <c r="I33" s="120"/>
      <c r="J33" s="120"/>
    </row>
  </sheetData>
  <mergeCells count="65">
    <mergeCell ref="B3:J3"/>
    <mergeCell ref="B4:D4"/>
    <mergeCell ref="E4:G4"/>
    <mergeCell ref="H4:J4"/>
    <mergeCell ref="B5:D5"/>
    <mergeCell ref="E5:G5"/>
    <mergeCell ref="H5:J5"/>
    <mergeCell ref="B6:D6"/>
    <mergeCell ref="E6:G6"/>
    <mergeCell ref="H6:J6"/>
    <mergeCell ref="B7:D7"/>
    <mergeCell ref="E7:G7"/>
    <mergeCell ref="H7:J7"/>
    <mergeCell ref="B8:D8"/>
    <mergeCell ref="E8:G8"/>
    <mergeCell ref="H8:J8"/>
    <mergeCell ref="B9:D9"/>
    <mergeCell ref="E9:G9"/>
    <mergeCell ref="H9:J9"/>
    <mergeCell ref="B10:D10"/>
    <mergeCell ref="E10:G10"/>
    <mergeCell ref="H10:J10"/>
    <mergeCell ref="B11:D11"/>
    <mergeCell ref="E11:G11"/>
    <mergeCell ref="H11:J11"/>
    <mergeCell ref="B12:D12"/>
    <mergeCell ref="E12:G12"/>
    <mergeCell ref="H12:J12"/>
    <mergeCell ref="B13:D13"/>
    <mergeCell ref="E13:G13"/>
    <mergeCell ref="H13:J13"/>
    <mergeCell ref="B14:D14"/>
    <mergeCell ref="E14:G14"/>
    <mergeCell ref="H14:J14"/>
    <mergeCell ref="B15:D15"/>
    <mergeCell ref="E15:G15"/>
    <mergeCell ref="H15:J15"/>
    <mergeCell ref="B16:D16"/>
    <mergeCell ref="E16:G16"/>
    <mergeCell ref="H16:J16"/>
    <mergeCell ref="B17:D17"/>
    <mergeCell ref="E17:G17"/>
    <mergeCell ref="H17:J17"/>
    <mergeCell ref="B18:D18"/>
    <mergeCell ref="E18:G18"/>
    <mergeCell ref="H18:J18"/>
    <mergeCell ref="B19:D19"/>
    <mergeCell ref="E19:G19"/>
    <mergeCell ref="H19:J19"/>
    <mergeCell ref="B20:D20"/>
    <mergeCell ref="E20:G20"/>
    <mergeCell ref="H20:J20"/>
    <mergeCell ref="B21:D21"/>
    <mergeCell ref="E21:G21"/>
    <mergeCell ref="H21:J21"/>
    <mergeCell ref="B23:J23"/>
    <mergeCell ref="D24:J24"/>
    <mergeCell ref="D25:J25"/>
    <mergeCell ref="D26:J26"/>
    <mergeCell ref="D27:J27"/>
    <mergeCell ref="D28:J28"/>
    <mergeCell ref="D29:J29"/>
    <mergeCell ref="D30:J30"/>
    <mergeCell ref="D31:J31"/>
    <mergeCell ref="D32:J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2026-09-14T21:01:38Z</dcterms:created>
  <dc:creator>openpyxl</dc:creator>
  <dc:description/>
  <dc:language>en-US</dc:language>
  <cp:lastModifiedBy>Boubacar Camara</cp:lastModifiedBy>
  <dcterms:modified xsi:type="dcterms:W3CDTF">2026-09-24T13:34:21Z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